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TEL012\Desktop\"/>
    </mc:Choice>
  </mc:AlternateContent>
  <xr:revisionPtr revIDLastSave="0" documentId="8_{FAA79BB4-409B-4153-AA3B-BD90E3A28CF0}" xr6:coauthVersionLast="47" xr6:coauthVersionMax="47" xr10:uidLastSave="{00000000-0000-0000-0000-000000000000}"/>
  <bookViews>
    <workbookView xWindow="-120" yWindow="-120" windowWidth="20730" windowHeight="11040" tabRatio="713" firstSheet="2" xr2:uid="{00000000-000D-0000-FFFF-FFFF00000000}"/>
  </bookViews>
  <sheets>
    <sheet name="BONOS CC" sheetId="10" r:id="rId1"/>
    <sheet name="RESUMEN TESORERIA" sheetId="11" state="hidden" r:id="rId2"/>
    <sheet name="MULTICENTER" sheetId="19" r:id="rId3"/>
    <sheet name="AGENTE DE CAMPAÑAS" sheetId="15" r:id="rId4"/>
    <sheet name="OPERADOR YANGO" sheetId="16" r:id="rId5"/>
    <sheet name="AUX CC" sheetId="14" r:id="rId6"/>
    <sheet name="JEFE DE CONTROL DE CALIDAD" sheetId="17" r:id="rId7"/>
    <sheet name="JEFE DE CONTACT CENTER" sheetId="18" r:id="rId8"/>
    <sheet name="GERENCIA COMERCIAL" sheetId="13" state="hidden" r:id="rId9"/>
  </sheets>
  <definedNames>
    <definedName name="_xlnm.Print_Area" localSheetId="3">'AGENTE DE CAMPAÑAS'!$A$1:$H$26</definedName>
    <definedName name="_xlnm.Print_Area" localSheetId="5">'AUX CC'!$A$1:$I$33</definedName>
    <definedName name="_xlnm.Print_Area" localSheetId="0">'BONOS CC'!$A$1:$BX$36</definedName>
    <definedName name="_xlnm.Print_Area" localSheetId="8">'GERENCIA COMERCIAL'!$A$1:$J$40</definedName>
    <definedName name="_xlnm.Print_Area" localSheetId="7">'JEFE DE CONTACT CENTER'!$A$1:$H$29</definedName>
    <definedName name="_xlnm.Print_Area" localSheetId="6">'JEFE DE CONTROL DE CALIDAD'!$A$1:$H$36</definedName>
    <definedName name="_xlnm.Print_Area" localSheetId="2">MULTICENTER!$A$1:$AC$26</definedName>
    <definedName name="_xlnm.Print_Area" localSheetId="4">'OPERADOR YANGO'!$A$1:$H$38</definedName>
    <definedName name="_xlnm.Print_Area" localSheetId="1">'RESUMEN TESORERIA'!$B$1:$K$27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16" l="1"/>
  <c r="P14" i="16" s="1"/>
  <c r="AU39" i="10"/>
  <c r="AV39" i="10" s="1"/>
  <c r="AT40" i="10"/>
  <c r="A6" i="10" l="1"/>
  <c r="A4" i="10" l="1"/>
  <c r="A2" i="10"/>
  <c r="H12" i="16"/>
  <c r="AI39" i="10" l="1"/>
  <c r="Y9" i="19" l="1"/>
  <c r="AB17" i="19"/>
  <c r="AC17" i="19" s="1"/>
  <c r="AB15" i="19"/>
  <c r="AC15" i="19" s="1"/>
  <c r="AB13" i="19"/>
  <c r="AC13" i="19" s="1"/>
  <c r="S17" i="19"/>
  <c r="T17" i="19" s="1"/>
  <c r="S15" i="19"/>
  <c r="T15" i="19" s="1"/>
  <c r="S13" i="19"/>
  <c r="T13" i="19" s="1"/>
  <c r="P9" i="19"/>
  <c r="I17" i="19"/>
  <c r="J17" i="19" s="1"/>
  <c r="I15" i="19"/>
  <c r="J15" i="19" s="1"/>
  <c r="I13" i="19"/>
  <c r="J13" i="19" s="1"/>
  <c r="F9" i="19"/>
  <c r="S21" i="19" l="1"/>
  <c r="T21" i="19" s="1"/>
  <c r="T22" i="19" s="1"/>
  <c r="I21" i="19"/>
  <c r="J21" i="19" s="1"/>
  <c r="J22" i="19" s="1"/>
  <c r="AB21" i="19"/>
  <c r="H28" i="14"/>
  <c r="AC21" i="19" l="1"/>
  <c r="AC22" i="19" s="1"/>
  <c r="G26" i="18"/>
  <c r="H26" i="18" s="1"/>
  <c r="BW25" i="10" l="1"/>
  <c r="BX25" i="10" s="1"/>
  <c r="BW23" i="10"/>
  <c r="BX23" i="10" s="1"/>
  <c r="BN25" i="10"/>
  <c r="BO25" i="10" s="1"/>
  <c r="BN23" i="10"/>
  <c r="BO23" i="10" s="1"/>
  <c r="BE25" i="10"/>
  <c r="BF25" i="10" s="1"/>
  <c r="BE23" i="10"/>
  <c r="BF23" i="10" s="1"/>
  <c r="AU25" i="10"/>
  <c r="AV25" i="10" s="1"/>
  <c r="AU23" i="10"/>
  <c r="AV23" i="10" s="1"/>
  <c r="AK25" i="10"/>
  <c r="AL25" i="10" s="1"/>
  <c r="AK23" i="10"/>
  <c r="AL23" i="10" s="1"/>
  <c r="AB25" i="10"/>
  <c r="AC25" i="10" s="1"/>
  <c r="AB23" i="10"/>
  <c r="AC23" i="10" s="1"/>
  <c r="S25" i="10"/>
  <c r="T25" i="10" s="1"/>
  <c r="S23" i="10"/>
  <c r="T23" i="10" s="1"/>
  <c r="I25" i="10"/>
  <c r="J25" i="10" s="1"/>
  <c r="AA16" i="18" l="1"/>
  <c r="AB16" i="18" s="1"/>
  <c r="AA18" i="18"/>
  <c r="AB18" i="18" s="1"/>
  <c r="AA17" i="18"/>
  <c r="AB17" i="18" s="1"/>
  <c r="AB19" i="18" l="1"/>
  <c r="BT11" i="10" l="1"/>
  <c r="BW21" i="10"/>
  <c r="BX21" i="10" s="1"/>
  <c r="BW19" i="10"/>
  <c r="BX19" i="10" s="1"/>
  <c r="BW17" i="10"/>
  <c r="BX17" i="10" s="1"/>
  <c r="BW15" i="10"/>
  <c r="BX15" i="10" s="1"/>
  <c r="I23" i="10"/>
  <c r="J23" i="10" s="1"/>
  <c r="I21" i="10"/>
  <c r="BW29" i="10" l="1"/>
  <c r="BX29" i="10" s="1"/>
  <c r="BX30" i="10" s="1"/>
  <c r="Y28" i="17"/>
  <c r="Z28" i="17" s="1"/>
  <c r="Y27" i="17"/>
  <c r="Z27" i="17" s="1"/>
  <c r="Y26" i="17"/>
  <c r="Z26" i="17" s="1"/>
  <c r="Z29" i="17" l="1"/>
  <c r="G29" i="17"/>
  <c r="H29" i="17" s="1"/>
  <c r="G38" i="16"/>
  <c r="H38" i="16" s="1"/>
  <c r="I28" i="14" l="1"/>
  <c r="G34" i="16"/>
  <c r="H34" i="16" s="1"/>
  <c r="G30" i="16"/>
  <c r="H30" i="16" s="1"/>
  <c r="G26" i="16"/>
  <c r="H26" i="16" s="1"/>
  <c r="G22" i="16"/>
  <c r="H22" i="16" s="1"/>
  <c r="G18" i="16"/>
  <c r="H18" i="16" s="1"/>
  <c r="G24" i="18"/>
  <c r="H24" i="18" s="1"/>
  <c r="G22" i="18"/>
  <c r="H22" i="18" s="1"/>
  <c r="G20" i="18"/>
  <c r="H20" i="18" s="1"/>
  <c r="G31" i="17"/>
  <c r="H31" i="17" s="1"/>
  <c r="G27" i="17"/>
  <c r="H27" i="17" s="1"/>
  <c r="G25" i="17"/>
  <c r="H25" i="17" s="1"/>
  <c r="G29" i="18" l="1"/>
  <c r="G36" i="17"/>
  <c r="G14" i="16"/>
  <c r="H14" i="16" s="1"/>
  <c r="G21" i="15"/>
  <c r="H21" i="15" s="1"/>
  <c r="G19" i="15"/>
  <c r="H19" i="15" s="1"/>
  <c r="G26" i="15" l="1"/>
  <c r="E10" i="14" l="1"/>
  <c r="BN21" i="10"/>
  <c r="BO21" i="10" s="1"/>
  <c r="BE21" i="10"/>
  <c r="BF21" i="10" s="1"/>
  <c r="AU21" i="10"/>
  <c r="AV21" i="10" s="1"/>
  <c r="AK21" i="10"/>
  <c r="AL21" i="10" s="1"/>
  <c r="AB21" i="10"/>
  <c r="AC21" i="10" s="1"/>
  <c r="S21" i="10"/>
  <c r="T21" i="10" s="1"/>
  <c r="J21" i="10"/>
  <c r="I15" i="10"/>
  <c r="BN19" i="10"/>
  <c r="BO19" i="10" s="1"/>
  <c r="BN17" i="10"/>
  <c r="BO17" i="10" s="1"/>
  <c r="BN15" i="10"/>
  <c r="BO15" i="10" s="1"/>
  <c r="BE19" i="10"/>
  <c r="BF19" i="10" s="1"/>
  <c r="BE17" i="10"/>
  <c r="BF17" i="10" s="1"/>
  <c r="BE15" i="10"/>
  <c r="BF15" i="10" s="1"/>
  <c r="AU19" i="10"/>
  <c r="AV19" i="10" s="1"/>
  <c r="AU17" i="10"/>
  <c r="AV17" i="10" s="1"/>
  <c r="AU15" i="10"/>
  <c r="AV15" i="10" s="1"/>
  <c r="AK19" i="10"/>
  <c r="AL19" i="10" s="1"/>
  <c r="AK17" i="10"/>
  <c r="AL17" i="10" s="1"/>
  <c r="AK15" i="10"/>
  <c r="AL15" i="10" s="1"/>
  <c r="AB19" i="10"/>
  <c r="AC19" i="10" s="1"/>
  <c r="AB17" i="10"/>
  <c r="AC17" i="10" s="1"/>
  <c r="AB15" i="10"/>
  <c r="AC15" i="10" s="1"/>
  <c r="AB29" i="10" l="1"/>
  <c r="AC29" i="10" s="1"/>
  <c r="AC30" i="10" s="1"/>
  <c r="AU29" i="10"/>
  <c r="AV29" i="10" s="1"/>
  <c r="BE29" i="10"/>
  <c r="BF29" i="10" s="1"/>
  <c r="BF30" i="10" s="1"/>
  <c r="AK29" i="10"/>
  <c r="BN29" i="10"/>
  <c r="BO29" i="10" s="1"/>
  <c r="S19" i="10"/>
  <c r="T19" i="10" s="1"/>
  <c r="S17" i="10"/>
  <c r="T17" i="10" s="1"/>
  <c r="S15" i="10"/>
  <c r="T15" i="10" s="1"/>
  <c r="BB11" i="10"/>
  <c r="AR11" i="10"/>
  <c r="AH11" i="10"/>
  <c r="Y11" i="10"/>
  <c r="P11" i="10"/>
  <c r="F11" i="10"/>
  <c r="BK11" i="10"/>
  <c r="H25" i="14"/>
  <c r="H23" i="14"/>
  <c r="I23" i="14" s="1"/>
  <c r="H21" i="14"/>
  <c r="I21" i="14" s="1"/>
  <c r="H19" i="14"/>
  <c r="I19" i="10"/>
  <c r="I17" i="10"/>
  <c r="J17" i="10" s="1"/>
  <c r="J15" i="10"/>
  <c r="S29" i="10" l="1"/>
  <c r="T29" i="10" s="1"/>
  <c r="T30" i="10" s="1"/>
  <c r="AL29" i="10"/>
  <c r="AL30" i="10" s="1"/>
  <c r="BO30" i="10"/>
  <c r="J19" i="10" l="1"/>
  <c r="I29" i="10" s="1"/>
  <c r="J29" i="10" l="1"/>
  <c r="J30" i="10" s="1"/>
  <c r="I19" i="14"/>
  <c r="I25" i="14" l="1"/>
  <c r="H32" i="14" s="1"/>
  <c r="I32" i="14" l="1"/>
  <c r="I33" i="14" s="1"/>
  <c r="I20" i="11"/>
  <c r="I39" i="13" l="1"/>
  <c r="I40" i="13" l="1"/>
  <c r="J26" i="11" l="1"/>
  <c r="I18" i="11"/>
  <c r="J18" i="11" s="1"/>
  <c r="I16" i="11"/>
  <c r="J16" i="11" s="1"/>
  <c r="F12" i="11"/>
  <c r="I25" i="11" l="1"/>
  <c r="AV30" i="10" l="1"/>
</calcChain>
</file>

<file path=xl/sharedStrings.xml><?xml version="1.0" encoding="utf-8"?>
<sst xmlns="http://schemas.openxmlformats.org/spreadsheetml/2006/main" count="768" uniqueCount="161">
  <si>
    <t>TOTAL</t>
  </si>
  <si>
    <t>Peso</t>
  </si>
  <si>
    <t>Objetivo Mensual</t>
  </si>
  <si>
    <t>1. Productividad</t>
  </si>
  <si>
    <t>3. Promesas</t>
  </si>
  <si>
    <t>4. Calidad</t>
  </si>
  <si>
    <t xml:space="preserve"> </t>
  </si>
  <si>
    <t>COBRANZAS</t>
  </si>
  <si>
    <t>2. Recuperación</t>
  </si>
  <si>
    <t>85% - 89.9%</t>
  </si>
  <si>
    <t>90% - 94.9%</t>
  </si>
  <si>
    <t>100 Bs</t>
  </si>
  <si>
    <t>200 Bs</t>
  </si>
  <si>
    <t>&gt;= 95%</t>
  </si>
  <si>
    <t>Nº</t>
  </si>
  <si>
    <t>5 Puntos</t>
  </si>
  <si>
    <t>1. PRODUCTIVIDAD</t>
  </si>
  <si>
    <t>2. RECUPERACION</t>
  </si>
  <si>
    <t>3. PROMESAS</t>
  </si>
  <si>
    <t xml:space="preserve">4. CALIDAD </t>
  </si>
  <si>
    <t>Calificación/ Bono</t>
  </si>
  <si>
    <t>ALCANCE</t>
  </si>
  <si>
    <t>TOTAL BONO Bs</t>
  </si>
  <si>
    <t>CALIFICACION</t>
  </si>
  <si>
    <t>%</t>
  </si>
  <si>
    <t xml:space="preserve">BONOS CALL CENTER </t>
  </si>
  <si>
    <t>350 Bs</t>
  </si>
  <si>
    <t>OBJETIVO</t>
  </si>
  <si>
    <t>PESO</t>
  </si>
  <si>
    <t>Nathaly Cardona</t>
  </si>
  <si>
    <t>NM</t>
  </si>
  <si>
    <t>500 Bs</t>
  </si>
  <si>
    <t>ML</t>
  </si>
  <si>
    <t>GERENCIA COMERCIAL (COMISIONES)</t>
  </si>
  <si>
    <t>1. Ventas (Cantidad)</t>
  </si>
  <si>
    <t>2. Ventas (Flujo)</t>
  </si>
  <si>
    <t>3. Cobranzas (Ingresos)</t>
  </si>
  <si>
    <t>Cumplimiento</t>
  </si>
  <si>
    <t>Ventas (Cantidad) $</t>
  </si>
  <si>
    <t>Ventas (Flujo)</t>
  </si>
  <si>
    <t>Cobranzas (Ingresos)</t>
  </si>
  <si>
    <t xml:space="preserve">Ventas (Cantidad) </t>
  </si>
  <si>
    <t>Comisión ($)</t>
  </si>
  <si>
    <t>Juan Pablo Díaz</t>
  </si>
  <si>
    <t>TOTALCOMISION $</t>
  </si>
  <si>
    <t>COBRANZAS Y VENTAS</t>
  </si>
  <si>
    <t>TOTAL BONO $us</t>
  </si>
  <si>
    <t>ABRIL 2022</t>
  </si>
  <si>
    <t xml:space="preserve">SEPTIEMBRE 2022 </t>
  </si>
  <si>
    <t>2000 Gestiones</t>
  </si>
  <si>
    <t>390 Promesas</t>
  </si>
  <si>
    <t>58000 USD</t>
  </si>
  <si>
    <t>Alisson Rodriguez</t>
  </si>
  <si>
    <t>Yessica Rivas</t>
  </si>
  <si>
    <t>1. Productividad Cobranzas</t>
  </si>
  <si>
    <t>Carla Vaca</t>
  </si>
  <si>
    <t>Yanine Ariñez</t>
  </si>
  <si>
    <t>Percy Rojas</t>
  </si>
  <si>
    <t>170400 USD</t>
  </si>
  <si>
    <t>550 Promesas</t>
  </si>
  <si>
    <t>4. Satisfacción</t>
  </si>
  <si>
    <t>4. SATISFACCION</t>
  </si>
  <si>
    <t>4. Cumplimiento de monitoreos de calidad</t>
  </si>
  <si>
    <t>4. CUMPLIMIENTO MONITOREOS</t>
  </si>
  <si>
    <t>Anahir Alvarez</t>
  </si>
  <si>
    <t>BONO AGENTE DE CAMPAÑAS</t>
  </si>
  <si>
    <t>1. CUMPLIMIENTO OBJ CAMPAÑAS</t>
  </si>
  <si>
    <t>BONO</t>
  </si>
  <si>
    <t>2. CUMPLIMIENTO BENCHMARK</t>
  </si>
  <si>
    <t>BONO OPERADOR YANGO</t>
  </si>
  <si>
    <t>1. CUMPLIMIENTO GESTIONES</t>
  </si>
  <si>
    <t>TOTAL BONO</t>
  </si>
  <si>
    <t>AGENTE DE CAMPAÑAS</t>
  </si>
  <si>
    <t>2. Productividad Telemarketing</t>
  </si>
  <si>
    <t>30 % Leads derivados sobre MQL altos y medios</t>
  </si>
  <si>
    <t>3. Gestiones de ventas</t>
  </si>
  <si>
    <t>Cumplir con el objetivo de ventas</t>
  </si>
  <si>
    <t>Dar 100% de Feedback a los agentes que cometieron errores</t>
  </si>
  <si>
    <t>Cumplimiento de objetivo de Cobranzas</t>
  </si>
  <si>
    <t>1. PRODUCTIVIDAD COBRANZAS</t>
  </si>
  <si>
    <t>BONOS JEFE DE CONTROL DE CALIDAD</t>
  </si>
  <si>
    <t>2.PRODUCTIVIDAD TELEMARKETING</t>
  </si>
  <si>
    <t>3. GESTIONES DE VENTAS</t>
  </si>
  <si>
    <t>Giovanna Bilbao</t>
  </si>
  <si>
    <t>1. CUMPLIMIENTO DE EXAMENES</t>
  </si>
  <si>
    <t>2. CUMPLIMIENTO CUOTA DE MONITOREO</t>
  </si>
  <si>
    <t>3 CUMPLIMIENTO PROTOCOLOS CLAVES</t>
  </si>
  <si>
    <t>4. CUMPLIMIENTO OBJETIVOS</t>
  </si>
  <si>
    <t>JEFE DE CONTROL DE CALIDAD</t>
  </si>
  <si>
    <t>BONOS JEFE DE CONTACT CENTER</t>
  </si>
  <si>
    <t>1. CUMPLIMIENTO DE OBJETIVOS</t>
  </si>
  <si>
    <t>JEFE DE CONTACT CENTER</t>
  </si>
  <si>
    <t>Alexander Ledezma</t>
  </si>
  <si>
    <t>2. CUMPLIMIENTO ENCUESTAS</t>
  </si>
  <si>
    <t>3 CUMPLIMIENTO NPS</t>
  </si>
  <si>
    <t>2. CUMPLIMIENTO GESTIONES</t>
  </si>
  <si>
    <t>3. CUMPLIMIENTO GESTIONES</t>
  </si>
  <si>
    <t>4. CUMPLIMIENTO GESTIONES</t>
  </si>
  <si>
    <t>5. CUMPLIMIENTO GESTIONES</t>
  </si>
  <si>
    <t>6. CUMPLIMIENTO GESTIONES</t>
  </si>
  <si>
    <t>1. CUMPLIMIENTO GESTIONES (YANGO)</t>
  </si>
  <si>
    <t>Daniel Contreras</t>
  </si>
  <si>
    <t>Jorge Vaca</t>
  </si>
  <si>
    <t>Melissa Avenante</t>
  </si>
  <si>
    <t>Marcela Alivis</t>
  </si>
  <si>
    <t>Carolina Casso</t>
  </si>
  <si>
    <t>Celia Albares</t>
  </si>
  <si>
    <t>7. CUMPLIMIENTO GESTIONES</t>
  </si>
  <si>
    <t>Abigail Leaño</t>
  </si>
  <si>
    <t>Recuperación</t>
  </si>
  <si>
    <t>Ventas</t>
  </si>
  <si>
    <t>Yango</t>
  </si>
  <si>
    <t>Obj CC</t>
  </si>
  <si>
    <t>Alcance CC</t>
  </si>
  <si>
    <t>Cumplimientos objetivos:</t>
  </si>
  <si>
    <t>Servicio</t>
  </si>
  <si>
    <t>James Borja</t>
  </si>
  <si>
    <t>Aracely Peña</t>
  </si>
  <si>
    <t>2800 Gestiones</t>
  </si>
  <si>
    <t>5. PECUF</t>
  </si>
  <si>
    <t>6. PECN</t>
  </si>
  <si>
    <t>4 CUMPLIMIENTO SAT</t>
  </si>
  <si>
    <t>Agustin Quiroga</t>
  </si>
  <si>
    <t>Nathaly Milenka Soliz</t>
  </si>
  <si>
    <t>3000 Gestiones</t>
  </si>
  <si>
    <t>3. PECUF</t>
  </si>
  <si>
    <t>4. PECN</t>
  </si>
  <si>
    <t>150 Bs</t>
  </si>
  <si>
    <t>250 Bs</t>
  </si>
  <si>
    <t>María René Soliz</t>
  </si>
  <si>
    <t>Leonel Rentería</t>
  </si>
  <si>
    <t>BONOS CALL CENTER MULTICENTER</t>
  </si>
  <si>
    <t>400 Bs</t>
  </si>
  <si>
    <t>450 Bs</t>
  </si>
  <si>
    <t>María Jimena Sandoval</t>
  </si>
  <si>
    <t>Gestiones del 20 a 31 de julio</t>
  </si>
  <si>
    <t>promedio</t>
  </si>
  <si>
    <t>Total</t>
  </si>
  <si>
    <t>del 1 a 19</t>
  </si>
  <si>
    <t>Alcanzado</t>
  </si>
  <si>
    <t>TOTAL GESTIONES</t>
  </si>
  <si>
    <t>TOTAL CDP</t>
  </si>
  <si>
    <t>RECUPERACIÓN</t>
  </si>
  <si>
    <t>Indicador</t>
  </si>
  <si>
    <t>Objetivo mensual</t>
  </si>
  <si>
    <t>Bono 85%–89.9%</t>
  </si>
  <si>
    <t>Bono 90%–94.9%</t>
  </si>
  <si>
    <t>Bono ≥95%</t>
  </si>
  <si>
    <t>Objetivo general de equipo (recuperación)</t>
  </si>
  <si>
    <t>100% de cumplimiento del objetivo de recuperaciones a nivel global</t>
  </si>
  <si>
    <t>200 Bs.</t>
  </si>
  <si>
    <t>250 Bs.</t>
  </si>
  <si>
    <t>300 Bs.</t>
  </si>
  <si>
    <t>1. RECUPERACION GENERAL</t>
  </si>
  <si>
    <t>TOTAL VALE Bs</t>
  </si>
  <si>
    <t>RAC COBRANZA</t>
  </si>
  <si>
    <t>RAC LIDER - JULIO</t>
  </si>
  <si>
    <t>Objetivo general de equipo (gestiones)</t>
  </si>
  <si>
    <t>28,000 gestiones</t>
  </si>
  <si>
    <t>VALE RAC LIDER</t>
  </si>
  <si>
    <t>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</si>
</sst>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%"/>
    <numFmt numFmtId="166" formatCode="&quot;Bs&quot;#,##0.00"/>
    <numFmt numFmtId="167" formatCode="0.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u/>
      <sz val="14"/>
      <color theme="1"/>
      <name val="Bodoni MT Black"/>
      <family val="1"/>
    </font>
    <font>
      <b/>
      <u/>
      <sz val="14"/>
      <color theme="1"/>
      <name val="Arial Black"/>
      <family val="2"/>
    </font>
    <font>
      <sz val="10"/>
      <color theme="1"/>
      <name val="Arial Black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theme="1"/>
      <name val="Arial"/>
      <family val="2"/>
    </font>
    <font>
      <b/>
      <u/>
      <sz val="12"/>
      <color theme="0"/>
      <name val="Arial"/>
      <family val="2"/>
    </font>
    <font>
      <b/>
      <u/>
      <sz val="14"/>
      <color theme="1"/>
      <name val="Arial"/>
      <family val="2"/>
    </font>
    <font>
      <b/>
      <u/>
      <sz val="12"/>
      <color theme="1"/>
      <name val="Arial Black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b/>
      <u/>
      <sz val="10"/>
      <color theme="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b/>
      <u/>
      <sz val="12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4">
    <xf numFmtId="0" fontId="0" fillId="0" borderId="0" xfId="0"/>
    <xf numFmtId="0" fontId="0" fillId="0" borderId="0" xfId="0" applyAlignment="1">
      <alignment horizontal="left"/>
    </xf>
    <xf numFmtId="0" fontId="18" fillId="33" borderId="0" xfId="0" applyFont="1" applyFill="1"/>
    <xf numFmtId="0" fontId="18" fillId="33" borderId="11" xfId="0" applyFont="1" applyFill="1" applyBorder="1"/>
    <xf numFmtId="0" fontId="18" fillId="0" borderId="0" xfId="0" applyFont="1"/>
    <xf numFmtId="3" fontId="19" fillId="35" borderId="10" xfId="0" applyNumberFormat="1" applyFont="1" applyFill="1" applyBorder="1" applyAlignment="1">
      <alignment horizontal="center" vertical="center"/>
    </xf>
    <xf numFmtId="3" fontId="19" fillId="35" borderId="10" xfId="0" applyNumberFormat="1" applyFont="1" applyFill="1" applyBorder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22" fillId="0" borderId="0" xfId="0" applyFont="1"/>
    <xf numFmtId="0" fontId="19" fillId="0" borderId="0" xfId="0" applyFont="1"/>
    <xf numFmtId="0" fontId="23" fillId="0" borderId="0" xfId="0" applyFont="1" applyAlignment="1">
      <alignment horizontal="center" vertical="center"/>
    </xf>
    <xf numFmtId="3" fontId="18" fillId="0" borderId="0" xfId="0" applyNumberFormat="1" applyFont="1"/>
    <xf numFmtId="0" fontId="24" fillId="0" borderId="0" xfId="0" applyFont="1"/>
    <xf numFmtId="0" fontId="21" fillId="34" borderId="10" xfId="0" applyFont="1" applyFill="1" applyBorder="1" applyAlignment="1">
      <alignment horizontal="center" vertical="center" wrapText="1"/>
    </xf>
    <xf numFmtId="0" fontId="20" fillId="33" borderId="0" xfId="0" applyFont="1" applyFill="1"/>
    <xf numFmtId="3" fontId="18" fillId="0" borderId="10" xfId="0" applyNumberFormat="1" applyFont="1" applyBorder="1" applyAlignment="1">
      <alignment horizontal="left" vertical="center"/>
    </xf>
    <xf numFmtId="3" fontId="18" fillId="0" borderId="10" xfId="0" applyNumberFormat="1" applyFont="1" applyBorder="1" applyAlignment="1">
      <alignment horizontal="left"/>
    </xf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3" fontId="18" fillId="0" borderId="14" xfId="0" applyNumberFormat="1" applyFont="1" applyBorder="1" applyAlignment="1">
      <alignment horizontal="center" vertical="center"/>
    </xf>
    <xf numFmtId="0" fontId="19" fillId="33" borderId="12" xfId="0" applyFont="1" applyFill="1" applyBorder="1" applyAlignment="1">
      <alignment horizontal="left" vertical="center"/>
    </xf>
    <xf numFmtId="0" fontId="19" fillId="33" borderId="14" xfId="0" applyFont="1" applyFill="1" applyBorder="1" applyAlignment="1">
      <alignment horizontal="left" vertical="center"/>
    </xf>
    <xf numFmtId="3" fontId="19" fillId="35" borderId="10" xfId="0" applyNumberFormat="1" applyFont="1" applyFill="1" applyBorder="1" applyAlignment="1">
      <alignment horizontal="center"/>
    </xf>
    <xf numFmtId="0" fontId="18" fillId="0" borderId="14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25" fillId="34" borderId="12" xfId="0" applyFont="1" applyFill="1" applyBorder="1" applyAlignment="1">
      <alignment vertical="center"/>
    </xf>
    <xf numFmtId="0" fontId="25" fillId="34" borderId="13" xfId="0" applyFont="1" applyFill="1" applyBorder="1" applyAlignment="1">
      <alignment vertical="center"/>
    </xf>
    <xf numFmtId="10" fontId="21" fillId="34" borderId="10" xfId="1" applyNumberFormat="1" applyFont="1" applyFill="1" applyBorder="1" applyAlignment="1">
      <alignment horizontal="center" vertical="center"/>
    </xf>
    <xf numFmtId="0" fontId="25" fillId="34" borderId="22" xfId="0" applyFont="1" applyFill="1" applyBorder="1" applyAlignment="1">
      <alignment vertical="center"/>
    </xf>
    <xf numFmtId="0" fontId="25" fillId="34" borderId="22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9" fontId="18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4" fontId="22" fillId="34" borderId="10" xfId="0" applyNumberFormat="1" applyFont="1" applyFill="1" applyBorder="1" applyAlignment="1">
      <alignment horizontal="center" vertical="center"/>
    </xf>
    <xf numFmtId="0" fontId="21" fillId="0" borderId="0" xfId="0" applyFont="1"/>
    <xf numFmtId="0" fontId="23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8" fillId="33" borderId="0" xfId="0" applyFont="1" applyFill="1"/>
    <xf numFmtId="0" fontId="25" fillId="0" borderId="0" xfId="0" applyFont="1" applyAlignment="1">
      <alignment vertical="center"/>
    </xf>
    <xf numFmtId="0" fontId="21" fillId="34" borderId="12" xfId="0" applyFont="1" applyFill="1" applyBorder="1"/>
    <xf numFmtId="0" fontId="21" fillId="34" borderId="13" xfId="0" applyFont="1" applyFill="1" applyBorder="1"/>
    <xf numFmtId="9" fontId="18" fillId="33" borderId="10" xfId="1" applyFont="1" applyFill="1" applyBorder="1" applyAlignment="1">
      <alignment horizontal="center"/>
    </xf>
    <xf numFmtId="0" fontId="27" fillId="33" borderId="0" xfId="0" applyFont="1" applyFill="1" applyAlignment="1">
      <alignment horizontal="center"/>
    </xf>
    <xf numFmtId="9" fontId="18" fillId="33" borderId="10" xfId="1" applyFont="1" applyFill="1" applyBorder="1" applyAlignment="1">
      <alignment horizontal="center" vertical="center"/>
    </xf>
    <xf numFmtId="4" fontId="18" fillId="33" borderId="10" xfId="0" applyNumberFormat="1" applyFont="1" applyFill="1" applyBorder="1" applyAlignment="1">
      <alignment horizontal="center" vertical="center"/>
    </xf>
    <xf numFmtId="9" fontId="18" fillId="0" borderId="10" xfId="1" applyFont="1" applyBorder="1" applyAlignment="1">
      <alignment horizontal="center" vertical="center"/>
    </xf>
    <xf numFmtId="0" fontId="20" fillId="0" borderId="0" xfId="0" applyFont="1"/>
    <xf numFmtId="0" fontId="19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9" fontId="19" fillId="0" borderId="0" xfId="0" applyNumberFormat="1" applyFont="1" applyAlignment="1">
      <alignment horizontal="center" vertical="center"/>
    </xf>
    <xf numFmtId="0" fontId="21" fillId="34" borderId="10" xfId="0" applyFont="1" applyFill="1" applyBorder="1" applyAlignment="1" applyProtection="1">
      <alignment horizontal="center" vertical="center"/>
      <protection hidden="1"/>
    </xf>
    <xf numFmtId="9" fontId="18" fillId="33" borderId="10" xfId="1" applyFont="1" applyFill="1" applyBorder="1" applyAlignment="1" applyProtection="1">
      <alignment horizontal="center" vertical="center"/>
      <protection hidden="1"/>
    </xf>
    <xf numFmtId="0" fontId="22" fillId="34" borderId="10" xfId="0" applyFont="1" applyFill="1" applyBorder="1"/>
    <xf numFmtId="0" fontId="21" fillId="34" borderId="10" xfId="0" applyFont="1" applyFill="1" applyBorder="1"/>
    <xf numFmtId="0" fontId="29" fillId="34" borderId="10" xfId="0" applyFont="1" applyFill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32" fillId="33" borderId="0" xfId="0" applyFont="1" applyFill="1"/>
    <xf numFmtId="0" fontId="32" fillId="0" borderId="0" xfId="0" applyFont="1"/>
    <xf numFmtId="0" fontId="33" fillId="33" borderId="0" xfId="0" applyFont="1" applyFill="1"/>
    <xf numFmtId="0" fontId="32" fillId="33" borderId="0" xfId="0" applyFont="1" applyFill="1" applyAlignment="1">
      <alignment horizontal="center"/>
    </xf>
    <xf numFmtId="0" fontId="34" fillId="34" borderId="10" xfId="0" applyFont="1" applyFill="1" applyBorder="1" applyAlignment="1">
      <alignment horizontal="center" vertic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3" fontId="32" fillId="0" borderId="10" xfId="0" applyNumberFormat="1" applyFont="1" applyBorder="1" applyAlignment="1">
      <alignment horizontal="left" vertical="center"/>
    </xf>
    <xf numFmtId="3" fontId="32" fillId="0" borderId="10" xfId="0" applyNumberFormat="1" applyFont="1" applyBorder="1" applyAlignment="1">
      <alignment horizontal="left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3" fontId="36" fillId="35" borderId="10" xfId="0" applyNumberFormat="1" applyFont="1" applyFill="1" applyBorder="1" applyAlignment="1">
      <alignment horizontal="center" vertical="center"/>
    </xf>
    <xf numFmtId="3" fontId="36" fillId="35" borderId="10" xfId="0" applyNumberFormat="1" applyFont="1" applyFill="1" applyBorder="1"/>
    <xf numFmtId="3" fontId="36" fillId="35" borderId="10" xfId="0" applyNumberFormat="1" applyFont="1" applyFill="1" applyBorder="1" applyAlignment="1">
      <alignment horizontal="center"/>
    </xf>
    <xf numFmtId="0" fontId="38" fillId="0" borderId="0" xfId="0" applyFont="1"/>
    <xf numFmtId="0" fontId="39" fillId="34" borderId="12" xfId="0" applyFont="1" applyFill="1" applyBorder="1" applyAlignment="1">
      <alignment vertical="center"/>
    </xf>
    <xf numFmtId="0" fontId="39" fillId="34" borderId="13" xfId="0" applyFont="1" applyFill="1" applyBorder="1" applyAlignment="1">
      <alignment vertical="center"/>
    </xf>
    <xf numFmtId="10" fontId="34" fillId="34" borderId="10" xfId="1" applyNumberFormat="1" applyFont="1" applyFill="1" applyBorder="1" applyAlignment="1">
      <alignment horizontal="center" vertical="center"/>
    </xf>
    <xf numFmtId="0" fontId="32" fillId="33" borderId="10" xfId="0" applyFont="1" applyFill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0" fontId="32" fillId="0" borderId="13" xfId="0" applyFont="1" applyBorder="1" applyAlignment="1">
      <alignment vertical="center"/>
    </xf>
    <xf numFmtId="0" fontId="32" fillId="0" borderId="14" xfId="0" applyFont="1" applyBorder="1" applyAlignment="1">
      <alignment vertical="center"/>
    </xf>
    <xf numFmtId="9" fontId="32" fillId="33" borderId="10" xfId="1" applyFont="1" applyFill="1" applyBorder="1" applyAlignment="1">
      <alignment horizontal="center" vertical="center"/>
    </xf>
    <xf numFmtId="0" fontId="39" fillId="34" borderId="10" xfId="0" applyFont="1" applyFill="1" applyBorder="1" applyAlignment="1">
      <alignment vertical="center"/>
    </xf>
    <xf numFmtId="0" fontId="39" fillId="34" borderId="10" xfId="0" applyFont="1" applyFill="1" applyBorder="1" applyAlignment="1">
      <alignment horizontal="center" vertical="center"/>
    </xf>
    <xf numFmtId="0" fontId="32" fillId="33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4" fontId="32" fillId="33" borderId="0" xfId="0" applyNumberFormat="1" applyFont="1" applyFill="1"/>
    <xf numFmtId="9" fontId="32" fillId="0" borderId="0" xfId="1" applyFont="1" applyBorder="1"/>
    <xf numFmtId="9" fontId="32" fillId="33" borderId="0" xfId="1" applyFont="1" applyFill="1" applyBorder="1" applyAlignment="1"/>
    <xf numFmtId="0" fontId="34" fillId="34" borderId="14" xfId="0" applyFont="1" applyFill="1" applyBorder="1" applyAlignment="1">
      <alignment horizontal="center" vertical="center"/>
    </xf>
    <xf numFmtId="9" fontId="32" fillId="0" borderId="10" xfId="0" applyNumberFormat="1" applyFont="1" applyBorder="1" applyAlignment="1">
      <alignment horizontal="center" vertical="center"/>
    </xf>
    <xf numFmtId="4" fontId="32" fillId="0" borderId="10" xfId="0" applyNumberFormat="1" applyFont="1" applyBorder="1" applyAlignment="1">
      <alignment horizontal="center" vertical="center"/>
    </xf>
    <xf numFmtId="165" fontId="32" fillId="0" borderId="10" xfId="0" applyNumberFormat="1" applyFont="1" applyBorder="1" applyAlignment="1">
      <alignment horizontal="center" vertical="center"/>
    </xf>
    <xf numFmtId="4" fontId="35" fillId="34" borderId="10" xfId="0" applyNumberFormat="1" applyFont="1" applyFill="1" applyBorder="1" applyAlignment="1">
      <alignment horizontal="center"/>
    </xf>
    <xf numFmtId="0" fontId="32" fillId="0" borderId="0" xfId="0" applyFont="1" applyAlignment="1">
      <alignment horizontal="left"/>
    </xf>
    <xf numFmtId="0" fontId="39" fillId="34" borderId="10" xfId="0" applyFont="1" applyFill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4" fillId="34" borderId="10" xfId="0" applyFont="1" applyFill="1" applyBorder="1" applyAlignment="1">
      <alignment horizontal="center" vertical="center" wrapText="1"/>
    </xf>
    <xf numFmtId="0" fontId="34" fillId="34" borderId="14" xfId="0" applyFont="1" applyFill="1" applyBorder="1" applyAlignment="1">
      <alignment horizontal="left" vertical="center"/>
    </xf>
    <xf numFmtId="0" fontId="34" fillId="34" borderId="10" xfId="0" applyFont="1" applyFill="1" applyBorder="1" applyAlignment="1">
      <alignment horizontal="left" vertical="center"/>
    </xf>
    <xf numFmtId="0" fontId="34" fillId="34" borderId="10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left"/>
    </xf>
    <xf numFmtId="0" fontId="39" fillId="34" borderId="12" xfId="0" applyFont="1" applyFill="1" applyBorder="1" applyAlignment="1">
      <alignment horizontal="left" vertical="center"/>
    </xf>
    <xf numFmtId="0" fontId="39" fillId="34" borderId="13" xfId="0" applyFont="1" applyFill="1" applyBorder="1" applyAlignment="1">
      <alignment horizontal="left" vertical="center"/>
    </xf>
    <xf numFmtId="0" fontId="39" fillId="34" borderId="14" xfId="0" applyFont="1" applyFill="1" applyBorder="1" applyAlignment="1">
      <alignment horizontal="left" vertical="center"/>
    </xf>
    <xf numFmtId="0" fontId="32" fillId="0" borderId="0" xfId="0" applyFont="1" applyAlignment="1">
      <alignment horizontal="left"/>
    </xf>
    <xf numFmtId="3" fontId="32" fillId="0" borderId="14" xfId="0" applyNumberFormat="1" applyFont="1" applyBorder="1" applyAlignment="1">
      <alignment horizontal="center" vertical="center"/>
    </xf>
    <xf numFmtId="0" fontId="36" fillId="33" borderId="12" xfId="0" applyFont="1" applyFill="1" applyBorder="1" applyAlignment="1">
      <alignment horizontal="left" vertical="center"/>
    </xf>
    <xf numFmtId="0" fontId="36" fillId="33" borderId="14" xfId="0" applyFont="1" applyFill="1" applyBorder="1" applyAlignment="1">
      <alignment horizontal="left" vertical="center"/>
    </xf>
    <xf numFmtId="0" fontId="34" fillId="34" borderId="18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4" fillId="34" borderId="10" xfId="0" applyFont="1" applyFill="1" applyBorder="1" applyAlignment="1">
      <alignment horizontal="center" vertical="center"/>
    </xf>
    <xf numFmtId="0" fontId="18" fillId="33" borderId="0" xfId="0" applyFont="1" applyFill="1" applyBorder="1"/>
    <xf numFmtId="0" fontId="18" fillId="0" borderId="0" xfId="0" applyFont="1" applyBorder="1"/>
    <xf numFmtId="0" fontId="34" fillId="0" borderId="0" xfId="0" applyFont="1" applyBorder="1"/>
    <xf numFmtId="0" fontId="36" fillId="0" borderId="0" xfId="0" applyFont="1" applyBorder="1"/>
    <xf numFmtId="0" fontId="32" fillId="0" borderId="0" xfId="0" applyFont="1" applyBorder="1"/>
    <xf numFmtId="0" fontId="37" fillId="0" borderId="0" xfId="0" applyFont="1" applyBorder="1" applyAlignment="1">
      <alignment vertical="center"/>
    </xf>
    <xf numFmtId="0" fontId="32" fillId="33" borderId="0" xfId="0" applyFont="1" applyFill="1" applyBorder="1"/>
    <xf numFmtId="0" fontId="35" fillId="0" borderId="0" xfId="0" applyFont="1" applyBorder="1"/>
    <xf numFmtId="0" fontId="37" fillId="0" borderId="0" xfId="0" applyFont="1" applyBorder="1" applyAlignment="1">
      <alignment horizontal="center" vertical="center"/>
    </xf>
    <xf numFmtId="9" fontId="32" fillId="0" borderId="10" xfId="1" applyFont="1" applyFill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4" fillId="34" borderId="10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9" fillId="34" borderId="13" xfId="0" applyFont="1" applyFill="1" applyBorder="1" applyAlignment="1">
      <alignment horizontal="left" vertical="center"/>
    </xf>
    <xf numFmtId="0" fontId="39" fillId="34" borderId="14" xfId="0" applyFont="1" applyFill="1" applyBorder="1" applyAlignment="1">
      <alignment horizontal="left" vertical="center"/>
    </xf>
    <xf numFmtId="0" fontId="32" fillId="0" borderId="0" xfId="0" applyFont="1" applyFill="1"/>
    <xf numFmtId="0" fontId="32" fillId="0" borderId="0" xfId="0" applyFont="1" applyFill="1" applyBorder="1"/>
    <xf numFmtId="0" fontId="34" fillId="34" borderId="10" xfId="0" applyFont="1" applyFill="1" applyBorder="1" applyAlignment="1">
      <alignment horizontal="center" vertical="center"/>
    </xf>
    <xf numFmtId="9" fontId="32" fillId="0" borderId="10" xfId="1" applyFont="1" applyBorder="1" applyAlignment="1">
      <alignment horizontal="left"/>
    </xf>
    <xf numFmtId="0" fontId="32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165" fontId="32" fillId="0" borderId="0" xfId="1" applyNumberFormat="1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32" fillId="0" borderId="12" xfId="0" applyFont="1" applyFill="1" applyBorder="1" applyAlignment="1">
      <alignment vertical="center"/>
    </xf>
    <xf numFmtId="0" fontId="32" fillId="0" borderId="13" xfId="0" applyFont="1" applyFill="1" applyBorder="1" applyAlignment="1">
      <alignment vertical="center"/>
    </xf>
    <xf numFmtId="0" fontId="32" fillId="0" borderId="14" xfId="0" applyFont="1" applyFill="1" applyBorder="1" applyAlignment="1">
      <alignment vertical="center"/>
    </xf>
    <xf numFmtId="0" fontId="34" fillId="34" borderId="10" xfId="0" applyFont="1" applyFill="1" applyBorder="1" applyAlignment="1">
      <alignment horizontal="center" vertical="center"/>
    </xf>
    <xf numFmtId="0" fontId="33" fillId="33" borderId="0" xfId="0" applyFont="1" applyFill="1" applyBorder="1" applyAlignment="1"/>
    <xf numFmtId="49" fontId="33" fillId="33" borderId="0" xfId="0" applyNumberFormat="1" applyFont="1" applyFill="1" applyBorder="1" applyAlignment="1"/>
    <xf numFmtId="0" fontId="39" fillId="34" borderId="13" xfId="0" applyFont="1" applyFill="1" applyBorder="1" applyAlignment="1">
      <alignment horizontal="center" vertical="center"/>
    </xf>
    <xf numFmtId="166" fontId="32" fillId="33" borderId="10" xfId="1" applyNumberFormat="1" applyFont="1" applyFill="1" applyBorder="1" applyAlignment="1">
      <alignment horizontal="center" vertical="center"/>
    </xf>
    <xf numFmtId="166" fontId="32" fillId="0" borderId="10" xfId="1" applyNumberFormat="1" applyFont="1" applyFill="1" applyBorder="1" applyAlignment="1">
      <alignment horizontal="center" vertical="center"/>
    </xf>
    <xf numFmtId="0" fontId="32" fillId="0" borderId="10" xfId="1" applyNumberFormat="1" applyFont="1" applyFill="1" applyBorder="1" applyAlignment="1">
      <alignment horizontal="center" vertical="center"/>
    </xf>
    <xf numFmtId="0" fontId="39" fillId="34" borderId="14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49" fontId="40" fillId="33" borderId="0" xfId="0" applyNumberFormat="1" applyFont="1" applyFill="1" applyBorder="1" applyAlignment="1"/>
    <xf numFmtId="0" fontId="42" fillId="33" borderId="0" xfId="0" applyFont="1" applyFill="1" applyBorder="1"/>
    <xf numFmtId="0" fontId="42" fillId="0" borderId="0" xfId="0" applyFont="1" applyBorder="1"/>
    <xf numFmtId="0" fontId="42" fillId="0" borderId="0" xfId="0" applyFont="1"/>
    <xf numFmtId="0" fontId="43" fillId="33" borderId="0" xfId="0" applyFont="1" applyFill="1"/>
    <xf numFmtId="0" fontId="42" fillId="33" borderId="0" xfId="0" applyFont="1" applyFill="1" applyAlignment="1">
      <alignment horizontal="center"/>
    </xf>
    <xf numFmtId="0" fontId="42" fillId="33" borderId="0" xfId="0" applyFont="1" applyFill="1"/>
    <xf numFmtId="0" fontId="44" fillId="0" borderId="0" xfId="0" applyFont="1" applyBorder="1"/>
    <xf numFmtId="0" fontId="44" fillId="0" borderId="0" xfId="0" applyFont="1"/>
    <xf numFmtId="0" fontId="45" fillId="0" borderId="0" xfId="0" applyFont="1" applyBorder="1"/>
    <xf numFmtId="0" fontId="46" fillId="0" borderId="0" xfId="0" applyFont="1" applyBorder="1"/>
    <xf numFmtId="0" fontId="45" fillId="34" borderId="10" xfId="0" applyFont="1" applyFill="1" applyBorder="1" applyAlignment="1">
      <alignment horizontal="center" vertical="center"/>
    </xf>
    <xf numFmtId="3" fontId="42" fillId="0" borderId="14" xfId="0" applyNumberFormat="1" applyFont="1" applyBorder="1" applyAlignment="1">
      <alignment horizontal="center" vertical="center"/>
    </xf>
    <xf numFmtId="3" fontId="42" fillId="0" borderId="10" xfId="0" applyNumberFormat="1" applyFont="1" applyBorder="1" applyAlignment="1">
      <alignment horizontal="left" vertical="center" wrapText="1"/>
    </xf>
    <xf numFmtId="0" fontId="47" fillId="0" borderId="0" xfId="0" applyFont="1" applyBorder="1" applyAlignment="1">
      <alignment horizontal="center" vertical="center"/>
    </xf>
    <xf numFmtId="3" fontId="42" fillId="0" borderId="10" xfId="0" applyNumberFormat="1" applyFont="1" applyBorder="1" applyAlignment="1">
      <alignment horizontal="left" wrapText="1"/>
    </xf>
    <xf numFmtId="0" fontId="47" fillId="0" borderId="0" xfId="0" applyFont="1" applyBorder="1" applyAlignment="1">
      <alignment vertical="center"/>
    </xf>
    <xf numFmtId="3" fontId="46" fillId="35" borderId="10" xfId="0" applyNumberFormat="1" applyFont="1" applyFill="1" applyBorder="1" applyAlignment="1">
      <alignment horizontal="center" vertical="center"/>
    </xf>
    <xf numFmtId="3" fontId="46" fillId="35" borderId="10" xfId="0" applyNumberFormat="1" applyFont="1" applyFill="1" applyBorder="1"/>
    <xf numFmtId="3" fontId="46" fillId="35" borderId="10" xfId="0" applyNumberFormat="1" applyFont="1" applyFill="1" applyBorder="1" applyAlignment="1">
      <alignment horizontal="center"/>
    </xf>
    <xf numFmtId="0" fontId="42" fillId="0" borderId="0" xfId="0" applyFont="1" applyBorder="1" applyAlignment="1">
      <alignment wrapText="1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2" fillId="0" borderId="0" xfId="0" applyFont="1" applyAlignment="1">
      <alignment wrapText="1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/>
    </xf>
    <xf numFmtId="0" fontId="48" fillId="0" borderId="0" xfId="0" applyFont="1" applyBorder="1"/>
    <xf numFmtId="0" fontId="49" fillId="34" borderId="10" xfId="0" applyFont="1" applyFill="1" applyBorder="1" applyAlignment="1">
      <alignment vertical="center"/>
    </xf>
    <xf numFmtId="10" fontId="45" fillId="34" borderId="10" xfId="1" applyNumberFormat="1" applyFont="1" applyFill="1" applyBorder="1" applyAlignment="1">
      <alignment horizontal="center" vertical="center"/>
    </xf>
    <xf numFmtId="0" fontId="42" fillId="33" borderId="10" xfId="0" applyFont="1" applyFill="1" applyBorder="1" applyAlignment="1">
      <alignment horizontal="center" vertical="center"/>
    </xf>
    <xf numFmtId="9" fontId="42" fillId="33" borderId="10" xfId="1" applyFont="1" applyFill="1" applyBorder="1" applyAlignment="1">
      <alignment horizontal="center"/>
    </xf>
    <xf numFmtId="0" fontId="45" fillId="34" borderId="10" xfId="0" applyFont="1" applyFill="1" applyBorder="1" applyAlignment="1">
      <alignment horizontal="center" vertical="center" wrapText="1"/>
    </xf>
    <xf numFmtId="0" fontId="45" fillId="34" borderId="18" xfId="0" applyFont="1" applyFill="1" applyBorder="1" applyAlignment="1">
      <alignment horizontal="center" vertical="center" wrapText="1"/>
    </xf>
    <xf numFmtId="165" fontId="42" fillId="0" borderId="10" xfId="0" applyNumberFormat="1" applyFont="1" applyBorder="1" applyAlignment="1">
      <alignment horizontal="center" vertical="center"/>
    </xf>
    <xf numFmtId="4" fontId="44" fillId="34" borderId="10" xfId="0" applyNumberFormat="1" applyFont="1" applyFill="1" applyBorder="1" applyAlignment="1">
      <alignment horizontal="center"/>
    </xf>
    <xf numFmtId="0" fontId="49" fillId="34" borderId="12" xfId="0" applyFont="1" applyFill="1" applyBorder="1" applyAlignment="1">
      <alignment horizontal="left" vertical="center"/>
    </xf>
    <xf numFmtId="0" fontId="49" fillId="34" borderId="13" xfId="0" applyFont="1" applyFill="1" applyBorder="1" applyAlignment="1">
      <alignment horizontal="left" vertical="center"/>
    </xf>
    <xf numFmtId="0" fontId="49" fillId="34" borderId="13" xfId="0" applyFont="1" applyFill="1" applyBorder="1" applyAlignment="1">
      <alignment horizontal="center" vertical="center"/>
    </xf>
    <xf numFmtId="0" fontId="49" fillId="34" borderId="14" xfId="0" applyFont="1" applyFill="1" applyBorder="1" applyAlignment="1">
      <alignment horizontal="center" vertical="center"/>
    </xf>
    <xf numFmtId="0" fontId="42" fillId="0" borderId="10" xfId="0" applyNumberFormat="1" applyFont="1" applyBorder="1" applyAlignment="1">
      <alignment horizontal="center" vertical="center"/>
    </xf>
    <xf numFmtId="0" fontId="39" fillId="34" borderId="12" xfId="0" applyFont="1" applyFill="1" applyBorder="1" applyAlignment="1">
      <alignment horizontal="left" vertical="center"/>
    </xf>
    <xf numFmtId="0" fontId="39" fillId="34" borderId="13" xfId="0" applyFont="1" applyFill="1" applyBorder="1" applyAlignment="1">
      <alignment horizontal="left" vertical="center"/>
    </xf>
    <xf numFmtId="0" fontId="39" fillId="34" borderId="13" xfId="0" applyFont="1" applyFill="1" applyBorder="1" applyAlignment="1">
      <alignment horizontal="center" vertical="center"/>
    </xf>
    <xf numFmtId="0" fontId="39" fillId="34" borderId="14" xfId="0" applyFont="1" applyFill="1" applyBorder="1" applyAlignment="1">
      <alignment horizontal="center" vertical="center"/>
    </xf>
    <xf numFmtId="0" fontId="38" fillId="0" borderId="0" xfId="0" applyFont="1" applyFill="1"/>
    <xf numFmtId="10" fontId="0" fillId="0" borderId="0" xfId="0" applyNumberFormat="1"/>
    <xf numFmtId="0" fontId="38" fillId="0" borderId="0" xfId="0" applyFont="1" applyFill="1" applyBorder="1"/>
    <xf numFmtId="0" fontId="0" fillId="0" borderId="10" xfId="0" applyBorder="1"/>
    <xf numFmtId="1" fontId="0" fillId="0" borderId="10" xfId="0" applyNumberFormat="1" applyBorder="1"/>
    <xf numFmtId="167" fontId="0" fillId="0" borderId="10" xfId="0" applyNumberFormat="1" applyBorder="1"/>
    <xf numFmtId="0" fontId="0" fillId="0" borderId="10" xfId="0" applyNumberFormat="1" applyBorder="1"/>
    <xf numFmtId="0" fontId="0" fillId="0" borderId="18" xfId="0" applyBorder="1"/>
    <xf numFmtId="1" fontId="0" fillId="0" borderId="18" xfId="0" applyNumberFormat="1" applyBorder="1"/>
    <xf numFmtId="167" fontId="0" fillId="0" borderId="18" xfId="0" applyNumberFormat="1" applyBorder="1"/>
    <xf numFmtId="0" fontId="34" fillId="34" borderId="10" xfId="0" applyFont="1" applyFill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2" fillId="33" borderId="10" xfId="0" applyFont="1" applyFill="1" applyBorder="1" applyAlignment="1">
      <alignment horizontal="center" vertical="center"/>
    </xf>
    <xf numFmtId="0" fontId="39" fillId="34" borderId="12" xfId="0" applyFont="1" applyFill="1" applyBorder="1" applyAlignment="1">
      <alignment horizontal="left" vertical="center"/>
    </xf>
    <xf numFmtId="0" fontId="39" fillId="34" borderId="13" xfId="0" applyFont="1" applyFill="1" applyBorder="1" applyAlignment="1">
      <alignment horizontal="left" vertical="center"/>
    </xf>
    <xf numFmtId="0" fontId="39" fillId="34" borderId="14" xfId="0" applyFont="1" applyFill="1" applyBorder="1" applyAlignment="1">
      <alignment horizontal="left" vertical="center"/>
    </xf>
    <xf numFmtId="3" fontId="42" fillId="0" borderId="10" xfId="0" applyNumberFormat="1" applyFont="1" applyBorder="1" applyAlignment="1">
      <alignment horizontal="left" vertical="center"/>
    </xf>
    <xf numFmtId="3" fontId="42" fillId="0" borderId="10" xfId="0" applyNumberFormat="1" applyFont="1" applyFill="1" applyBorder="1" applyAlignment="1">
      <alignment horizontal="center" vertical="center"/>
    </xf>
    <xf numFmtId="0" fontId="32" fillId="33" borderId="10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9" fontId="32" fillId="0" borderId="10" xfId="1" applyNumberFormat="1" applyFont="1" applyFill="1" applyBorder="1" applyAlignment="1">
      <alignment horizontal="center" vertical="center"/>
    </xf>
    <xf numFmtId="9" fontId="32" fillId="0" borderId="14" xfId="1" applyFont="1" applyFill="1" applyBorder="1" applyAlignment="1">
      <alignment horizontal="center" vertical="center"/>
    </xf>
    <xf numFmtId="165" fontId="32" fillId="0" borderId="10" xfId="1" applyNumberFormat="1" applyFont="1" applyFill="1" applyBorder="1" applyAlignment="1">
      <alignment horizontal="center" vertical="center"/>
    </xf>
    <xf numFmtId="9" fontId="32" fillId="0" borderId="12" xfId="1" applyFont="1" applyFill="1" applyBorder="1" applyAlignment="1">
      <alignment horizontal="center" vertical="center"/>
    </xf>
    <xf numFmtId="0" fontId="42" fillId="0" borderId="0" xfId="0" applyFont="1" applyFill="1" applyBorder="1"/>
    <xf numFmtId="0" fontId="42" fillId="0" borderId="10" xfId="0" applyFont="1" applyFill="1" applyBorder="1" applyAlignment="1">
      <alignment horizontal="center" vertical="center"/>
    </xf>
    <xf numFmtId="0" fontId="42" fillId="0" borderId="10" xfId="0" applyNumberFormat="1" applyFont="1" applyFill="1" applyBorder="1" applyAlignment="1">
      <alignment horizontal="center" vertical="center"/>
    </xf>
    <xf numFmtId="9" fontId="42" fillId="0" borderId="10" xfId="1" applyFont="1" applyFill="1" applyBorder="1" applyAlignment="1">
      <alignment horizontal="center"/>
    </xf>
    <xf numFmtId="9" fontId="42" fillId="0" borderId="10" xfId="1" applyFont="1" applyFill="1" applyBorder="1" applyAlignment="1">
      <alignment horizontal="center" vertical="center"/>
    </xf>
    <xf numFmtId="0" fontId="42" fillId="0" borderId="0" xfId="0" applyFont="1" applyFill="1"/>
    <xf numFmtId="1" fontId="42" fillId="0" borderId="10" xfId="1" applyNumberFormat="1" applyFont="1" applyFill="1" applyBorder="1" applyAlignment="1">
      <alignment horizontal="center" vertical="center"/>
    </xf>
    <xf numFmtId="0" fontId="42" fillId="0" borderId="10" xfId="1" applyNumberFormat="1" applyFont="1" applyFill="1" applyBorder="1" applyAlignment="1">
      <alignment horizontal="center" vertical="center"/>
    </xf>
    <xf numFmtId="166" fontId="42" fillId="0" borderId="10" xfId="1" applyNumberFormat="1" applyFont="1" applyFill="1" applyBorder="1" applyAlignment="1">
      <alignment horizontal="center" vertical="center"/>
    </xf>
    <xf numFmtId="9" fontId="32" fillId="0" borderId="13" xfId="1" applyFont="1" applyFill="1" applyBorder="1" applyAlignment="1">
      <alignment vertical="center"/>
    </xf>
    <xf numFmtId="3" fontId="32" fillId="0" borderId="10" xfId="0" applyNumberFormat="1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4" fillId="34" borderId="10" xfId="0" applyFont="1" applyFill="1" applyBorder="1" applyAlignment="1">
      <alignment horizontal="center" vertical="center" wrapText="1"/>
    </xf>
    <xf numFmtId="0" fontId="32" fillId="33" borderId="10" xfId="0" applyFont="1" applyFill="1" applyBorder="1"/>
    <xf numFmtId="0" fontId="32" fillId="0" borderId="0" xfId="0" applyFont="1" applyAlignment="1">
      <alignment horizontal="left"/>
    </xf>
    <xf numFmtId="0" fontId="39" fillId="34" borderId="12" xfId="0" applyFont="1" applyFill="1" applyBorder="1" applyAlignment="1">
      <alignment horizontal="left" vertical="center"/>
    </xf>
    <xf numFmtId="0" fontId="39" fillId="34" borderId="13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39" fillId="34" borderId="13" xfId="0" applyFont="1" applyFill="1" applyBorder="1" applyAlignment="1">
      <alignment horizontal="center" vertical="center"/>
    </xf>
    <xf numFmtId="0" fontId="39" fillId="34" borderId="14" xfId="0" applyFont="1" applyFill="1" applyBorder="1" applyAlignment="1">
      <alignment horizontal="center" vertical="center"/>
    </xf>
    <xf numFmtId="0" fontId="50" fillId="36" borderId="26" xfId="0" applyFont="1" applyFill="1" applyBorder="1" applyAlignment="1">
      <alignment horizontal="center" vertical="center" wrapText="1"/>
    </xf>
    <xf numFmtId="0" fontId="50" fillId="36" borderId="27" xfId="0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vertical="center" wrapText="1"/>
    </xf>
    <xf numFmtId="0" fontId="51" fillId="0" borderId="29" xfId="0" applyFont="1" applyBorder="1" applyAlignment="1">
      <alignment horizontal="center" vertical="center" wrapText="1"/>
    </xf>
    <xf numFmtId="0" fontId="52" fillId="37" borderId="28" xfId="0" applyFont="1" applyFill="1" applyBorder="1" applyAlignment="1">
      <alignment vertical="center" wrapText="1"/>
    </xf>
    <xf numFmtId="0" fontId="52" fillId="37" borderId="29" xfId="0" applyFont="1" applyFill="1" applyBorder="1" applyAlignment="1">
      <alignment horizontal="center" vertical="center" wrapText="1"/>
    </xf>
    <xf numFmtId="0" fontId="42" fillId="37" borderId="29" xfId="0" applyFont="1" applyFill="1" applyBorder="1" applyAlignment="1">
      <alignment vertical="center" wrapText="1"/>
    </xf>
    <xf numFmtId="0" fontId="50" fillId="36" borderId="10" xfId="0" applyFont="1" applyFill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2" fillId="37" borderId="10" xfId="0" applyFont="1" applyFill="1" applyBorder="1" applyAlignment="1">
      <alignment horizontal="center" vertical="center" wrapText="1"/>
    </xf>
    <xf numFmtId="0" fontId="42" fillId="37" borderId="10" xfId="0" applyFont="1" applyFill="1" applyBorder="1" applyAlignment="1">
      <alignment vertical="center" wrapText="1"/>
    </xf>
    <xf numFmtId="3" fontId="32" fillId="38" borderId="1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vertical="center"/>
    </xf>
    <xf numFmtId="9" fontId="32" fillId="0" borderId="0" xfId="0" applyNumberFormat="1" applyFont="1" applyFill="1" applyBorder="1" applyAlignment="1">
      <alignment horizontal="center" vertical="center"/>
    </xf>
    <xf numFmtId="4" fontId="32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/>
    </xf>
    <xf numFmtId="4" fontId="35" fillId="0" borderId="0" xfId="0" applyNumberFormat="1" applyFont="1" applyFill="1" applyBorder="1" applyAlignment="1">
      <alignment horizontal="center"/>
    </xf>
    <xf numFmtId="0" fontId="32" fillId="0" borderId="10" xfId="0" applyNumberFormat="1" applyFont="1" applyFill="1" applyBorder="1" applyAlignment="1">
      <alignment horizontal="center" vertical="center"/>
    </xf>
    <xf numFmtId="0" fontId="34" fillId="34" borderId="13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3" fillId="34" borderId="10" xfId="0" applyFont="1" applyFill="1" applyBorder="1" applyAlignment="1">
      <alignment horizontal="center" vertical="center" wrapText="1"/>
    </xf>
    <xf numFmtId="0" fontId="39" fillId="34" borderId="12" xfId="0" applyFont="1" applyFill="1" applyBorder="1" applyAlignment="1">
      <alignment horizontal="left" vertical="center"/>
    </xf>
    <xf numFmtId="0" fontId="39" fillId="34" borderId="13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left" vertical="center" wrapText="1"/>
    </xf>
    <xf numFmtId="0" fontId="34" fillId="34" borderId="10" xfId="0" applyFont="1" applyFill="1" applyBorder="1" applyAlignment="1">
      <alignment horizontal="left" vertical="center"/>
    </xf>
    <xf numFmtId="0" fontId="33" fillId="33" borderId="0" xfId="0" applyFont="1" applyFill="1" applyBorder="1" applyAlignment="1">
      <alignment horizontal="center"/>
    </xf>
    <xf numFmtId="17" fontId="33" fillId="33" borderId="0" xfId="0" applyNumberFormat="1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2" fillId="33" borderId="10" xfId="0" applyFont="1" applyFill="1" applyBorder="1" applyAlignment="1">
      <alignment horizontal="center" vertical="center" wrapText="1"/>
    </xf>
    <xf numFmtId="0" fontId="32" fillId="33" borderId="1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/>
    </xf>
    <xf numFmtId="0" fontId="32" fillId="33" borderId="12" xfId="0" applyFont="1" applyFill="1" applyBorder="1" applyAlignment="1">
      <alignment horizontal="center"/>
    </xf>
    <xf numFmtId="0" fontId="32" fillId="33" borderId="14" xfId="0" applyFont="1" applyFill="1" applyBorder="1" applyAlignment="1">
      <alignment horizontal="center"/>
    </xf>
    <xf numFmtId="0" fontId="34" fillId="34" borderId="20" xfId="0" applyFont="1" applyFill="1" applyBorder="1" applyAlignment="1">
      <alignment horizontal="left" vertical="center" wrapText="1"/>
    </xf>
    <xf numFmtId="0" fontId="34" fillId="34" borderId="0" xfId="0" applyFont="1" applyFill="1" applyBorder="1" applyAlignment="1">
      <alignment horizontal="left" vertical="center" wrapText="1"/>
    </xf>
    <xf numFmtId="0" fontId="34" fillId="34" borderId="23" xfId="0" applyFont="1" applyFill="1" applyBorder="1" applyAlignment="1">
      <alignment horizontal="left" vertical="center" wrapText="1"/>
    </xf>
    <xf numFmtId="0" fontId="34" fillId="34" borderId="19" xfId="0" applyFont="1" applyFill="1" applyBorder="1" applyAlignment="1">
      <alignment horizontal="center" vertical="center"/>
    </xf>
    <xf numFmtId="0" fontId="34" fillId="34" borderId="21" xfId="0" applyFont="1" applyFill="1" applyBorder="1" applyAlignment="1">
      <alignment horizontal="center" vertical="center"/>
    </xf>
    <xf numFmtId="0" fontId="34" fillId="34" borderId="20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0" fontId="36" fillId="35" borderId="16" xfId="0" applyFont="1" applyFill="1" applyBorder="1" applyAlignment="1">
      <alignment horizontal="left"/>
    </xf>
    <xf numFmtId="0" fontId="36" fillId="35" borderId="24" xfId="0" applyFont="1" applyFill="1" applyBorder="1" applyAlignment="1">
      <alignment horizontal="left"/>
    </xf>
    <xf numFmtId="0" fontId="50" fillId="36" borderId="10" xfId="0" applyFont="1" applyFill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2" fillId="37" borderId="10" xfId="0" applyFont="1" applyFill="1" applyBorder="1" applyAlignment="1">
      <alignment horizontal="center" vertical="center" wrapText="1"/>
    </xf>
    <xf numFmtId="0" fontId="42" fillId="37" borderId="10" xfId="0" applyFont="1" applyFill="1" applyBorder="1" applyAlignment="1">
      <alignment horizontal="center" vertical="center" wrapText="1"/>
    </xf>
    <xf numFmtId="0" fontId="34" fillId="34" borderId="12" xfId="0" applyFont="1" applyFill="1" applyBorder="1" applyAlignment="1">
      <alignment horizontal="left" vertical="center" wrapText="1"/>
    </xf>
    <xf numFmtId="0" fontId="34" fillId="34" borderId="13" xfId="0" applyFont="1" applyFill="1" applyBorder="1" applyAlignment="1">
      <alignment horizontal="left" vertical="center" wrapText="1"/>
    </xf>
    <xf numFmtId="0" fontId="34" fillId="34" borderId="14" xfId="0" applyFont="1" applyFill="1" applyBorder="1" applyAlignment="1">
      <alignment horizontal="left" vertical="center" wrapText="1"/>
    </xf>
    <xf numFmtId="0" fontId="34" fillId="34" borderId="12" xfId="0" applyFont="1" applyFill="1" applyBorder="1" applyAlignment="1">
      <alignment horizontal="center" vertical="center" wrapText="1"/>
    </xf>
    <xf numFmtId="0" fontId="34" fillId="34" borderId="1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32" fillId="0" borderId="12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27" fillId="33" borderId="0" xfId="0" applyFont="1" applyFill="1" applyAlignment="1">
      <alignment horizontal="center"/>
    </xf>
    <xf numFmtId="49" fontId="26" fillId="33" borderId="0" xfId="0" applyNumberFormat="1" applyFont="1" applyFill="1" applyAlignment="1">
      <alignment horizontal="center"/>
    </xf>
    <xf numFmtId="0" fontId="21" fillId="34" borderId="19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21" fillId="34" borderId="20" xfId="0" applyFont="1" applyFill="1" applyBorder="1" applyAlignment="1">
      <alignment horizontal="center" vertical="center"/>
    </xf>
    <xf numFmtId="0" fontId="21" fillId="34" borderId="23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3" fontId="18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35" borderId="16" xfId="0" applyFont="1" applyFill="1" applyBorder="1" applyAlignment="1">
      <alignment horizontal="left"/>
    </xf>
    <xf numFmtId="0" fontId="19" fillId="35" borderId="24" xfId="0" applyFont="1" applyFill="1" applyBorder="1" applyAlignment="1">
      <alignment horizontal="left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21" fillId="34" borderId="20" xfId="0" applyFont="1" applyFill="1" applyBorder="1" applyAlignment="1">
      <alignment horizontal="center" vertical="center" wrapText="1"/>
    </xf>
    <xf numFmtId="0" fontId="21" fillId="34" borderId="0" xfId="0" applyFont="1" applyFill="1" applyAlignment="1">
      <alignment horizontal="center" vertical="center" wrapText="1"/>
    </xf>
    <xf numFmtId="0" fontId="21" fillId="34" borderId="23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left"/>
    </xf>
    <xf numFmtId="0" fontId="21" fillId="34" borderId="13" xfId="0" applyFont="1" applyFill="1" applyBorder="1" applyAlignment="1">
      <alignment horizontal="left"/>
    </xf>
    <xf numFmtId="0" fontId="21" fillId="34" borderId="14" xfId="0" applyFont="1" applyFill="1" applyBorder="1" applyAlignment="1">
      <alignment horizontal="left"/>
    </xf>
    <xf numFmtId="0" fontId="25" fillId="34" borderId="12" xfId="0" applyFont="1" applyFill="1" applyBorder="1" applyAlignment="1">
      <alignment horizontal="left" vertical="center"/>
    </xf>
    <xf numFmtId="0" fontId="25" fillId="34" borderId="13" xfId="0" applyFont="1" applyFill="1" applyBorder="1" applyAlignment="1">
      <alignment horizontal="left" vertical="center"/>
    </xf>
    <xf numFmtId="0" fontId="25" fillId="34" borderId="14" xfId="0" applyFont="1" applyFill="1" applyBorder="1" applyAlignment="1">
      <alignment horizontal="left" vertical="center"/>
    </xf>
    <xf numFmtId="49" fontId="33" fillId="33" borderId="0" xfId="0" applyNumberFormat="1" applyFont="1" applyFill="1" applyBorder="1" applyAlignment="1">
      <alignment horizontal="center"/>
    </xf>
    <xf numFmtId="0" fontId="34" fillId="34" borderId="10" xfId="0" applyFont="1" applyFill="1" applyBorder="1" applyAlignment="1">
      <alignment horizontal="center" vertical="center" wrapText="1"/>
    </xf>
    <xf numFmtId="0" fontId="34" fillId="34" borderId="10" xfId="0" applyFont="1" applyFill="1" applyBorder="1" applyAlignment="1">
      <alignment horizontal="center"/>
    </xf>
    <xf numFmtId="166" fontId="32" fillId="0" borderId="10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9" fillId="34" borderId="14" xfId="0" applyFont="1" applyFill="1" applyBorder="1" applyAlignment="1">
      <alignment horizontal="left" vertical="center"/>
    </xf>
    <xf numFmtId="0" fontId="32" fillId="0" borderId="12" xfId="0" applyFont="1" applyFill="1" applyBorder="1" applyAlignment="1">
      <alignment horizontal="left" vertical="center"/>
    </xf>
    <xf numFmtId="0" fontId="32" fillId="0" borderId="13" xfId="0" applyFont="1" applyFill="1" applyBorder="1" applyAlignment="1">
      <alignment horizontal="left" vertical="center"/>
    </xf>
    <xf numFmtId="0" fontId="32" fillId="0" borderId="14" xfId="0" applyFont="1" applyFill="1" applyBorder="1" applyAlignment="1">
      <alignment horizontal="left" vertical="center"/>
    </xf>
    <xf numFmtId="0" fontId="41" fillId="33" borderId="0" xfId="0" applyFont="1" applyFill="1" applyBorder="1" applyAlignment="1">
      <alignment horizontal="center"/>
    </xf>
    <xf numFmtId="0" fontId="53" fillId="34" borderId="15" xfId="0" applyFont="1" applyFill="1" applyBorder="1" applyAlignment="1">
      <alignment horizontal="left"/>
    </xf>
    <xf numFmtId="0" fontId="49" fillId="34" borderId="10" xfId="0" applyFont="1" applyFill="1" applyBorder="1" applyAlignment="1">
      <alignment horizontal="left" vertical="center"/>
    </xf>
    <xf numFmtId="0" fontId="43" fillId="33" borderId="0" xfId="0" applyFont="1" applyFill="1" applyBorder="1" applyAlignment="1">
      <alignment horizontal="center"/>
    </xf>
    <xf numFmtId="17" fontId="43" fillId="33" borderId="0" xfId="0" applyNumberFormat="1" applyFont="1" applyFill="1" applyBorder="1" applyAlignment="1">
      <alignment horizontal="center"/>
    </xf>
    <xf numFmtId="49" fontId="43" fillId="33" borderId="0" xfId="0" applyNumberFormat="1" applyFont="1" applyFill="1" applyBorder="1" applyAlignment="1">
      <alignment horizontal="center"/>
    </xf>
    <xf numFmtId="0" fontId="45" fillId="34" borderId="19" xfId="0" applyFont="1" applyFill="1" applyBorder="1" applyAlignment="1">
      <alignment horizontal="center" vertical="center"/>
    </xf>
    <xf numFmtId="0" fontId="45" fillId="34" borderId="21" xfId="0" applyFont="1" applyFill="1" applyBorder="1" applyAlignment="1">
      <alignment horizontal="center" vertical="center"/>
    </xf>
    <xf numFmtId="0" fontId="45" fillId="34" borderId="20" xfId="0" applyFont="1" applyFill="1" applyBorder="1" applyAlignment="1">
      <alignment horizontal="center" vertical="center"/>
    </xf>
    <xf numFmtId="0" fontId="45" fillId="34" borderId="23" xfId="0" applyFont="1" applyFill="1" applyBorder="1" applyAlignment="1">
      <alignment horizontal="center" vertical="center"/>
    </xf>
    <xf numFmtId="0" fontId="45" fillId="34" borderId="10" xfId="0" applyFont="1" applyFill="1" applyBorder="1" applyAlignment="1">
      <alignment horizontal="center" vertical="center"/>
    </xf>
    <xf numFmtId="3" fontId="42" fillId="0" borderId="17" xfId="0" applyNumberFormat="1" applyFont="1" applyBorder="1" applyAlignment="1">
      <alignment horizontal="center" vertical="center"/>
    </xf>
    <xf numFmtId="3" fontId="42" fillId="0" borderId="25" xfId="0" applyNumberFormat="1" applyFont="1" applyBorder="1" applyAlignment="1">
      <alignment horizontal="center" vertical="center"/>
    </xf>
    <xf numFmtId="3" fontId="42" fillId="0" borderId="18" xfId="0" applyNumberFormat="1" applyFont="1" applyBorder="1" applyAlignment="1">
      <alignment horizontal="center" vertical="center"/>
    </xf>
    <xf numFmtId="0" fontId="46" fillId="35" borderId="16" xfId="0" applyFont="1" applyFill="1" applyBorder="1" applyAlignment="1">
      <alignment horizontal="left"/>
    </xf>
    <xf numFmtId="0" fontId="46" fillId="35" borderId="24" xfId="0" applyFont="1" applyFill="1" applyBorder="1" applyAlignment="1">
      <alignment horizontal="left"/>
    </xf>
    <xf numFmtId="0" fontId="42" fillId="0" borderId="10" xfId="0" applyFont="1" applyBorder="1" applyAlignment="1">
      <alignment horizontal="left" vertical="center"/>
    </xf>
    <xf numFmtId="0" fontId="46" fillId="33" borderId="12" xfId="0" applyFont="1" applyFill="1" applyBorder="1" applyAlignment="1">
      <alignment horizontal="left" vertical="center"/>
    </xf>
    <xf numFmtId="0" fontId="46" fillId="33" borderId="14" xfId="0" applyFont="1" applyFill="1" applyBorder="1" applyAlignment="1">
      <alignment horizontal="left" vertical="center"/>
    </xf>
    <xf numFmtId="0" fontId="46" fillId="33" borderId="12" xfId="0" applyFont="1" applyFill="1" applyBorder="1" applyAlignment="1">
      <alignment horizontal="left" vertical="center" wrapText="1"/>
    </xf>
    <xf numFmtId="0" fontId="45" fillId="34" borderId="10" xfId="0" applyFont="1" applyFill="1" applyBorder="1" applyAlignment="1">
      <alignment horizontal="center" vertical="center" wrapText="1"/>
    </xf>
    <xf numFmtId="0" fontId="45" fillId="34" borderId="10" xfId="0" applyFont="1" applyFill="1" applyBorder="1" applyAlignment="1">
      <alignment horizontal="left"/>
    </xf>
    <xf numFmtId="0" fontId="39" fillId="34" borderId="12" xfId="0" applyFont="1" applyFill="1" applyBorder="1" applyAlignment="1">
      <alignment horizontal="center" vertical="center"/>
    </xf>
    <xf numFmtId="0" fontId="39" fillId="34" borderId="13" xfId="0" applyFont="1" applyFill="1" applyBorder="1" applyAlignment="1">
      <alignment horizontal="center" vertical="center"/>
    </xf>
    <xf numFmtId="0" fontId="39" fillId="34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7" fillId="33" borderId="0" xfId="0" applyFont="1" applyFill="1" applyBorder="1" applyAlignment="1">
      <alignment horizontal="center"/>
    </xf>
    <xf numFmtId="0" fontId="27" fillId="33" borderId="0" xfId="0" applyFont="1" applyFill="1" applyAlignment="1">
      <alignment horizontal="center" vertical="center"/>
    </xf>
    <xf numFmtId="49" fontId="27" fillId="33" borderId="0" xfId="0" applyNumberFormat="1" applyFont="1" applyFill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9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33" borderId="10" xfId="0" applyFont="1" applyFill="1" applyBorder="1" applyAlignment="1" applyProtection="1">
      <alignment horizontal="center" vertical="center"/>
      <protection hidden="1"/>
    </xf>
    <xf numFmtId="0" fontId="21" fillId="34" borderId="10" xfId="0" applyFont="1" applyFill="1" applyBorder="1" applyAlignment="1" applyProtection="1">
      <alignment horizontal="center" vertical="center"/>
      <protection hidden="1"/>
    </xf>
    <xf numFmtId="164" fontId="18" fillId="33" borderId="10" xfId="1" applyNumberFormat="1" applyFont="1" applyFill="1" applyBorder="1" applyAlignment="1" applyProtection="1">
      <alignment horizontal="center" vertical="center"/>
      <protection hidden="1"/>
    </xf>
    <xf numFmtId="0" fontId="29" fillId="34" borderId="12" xfId="0" applyFont="1" applyFill="1" applyBorder="1" applyAlignment="1">
      <alignment horizontal="center" vertical="center"/>
    </xf>
    <xf numFmtId="0" fontId="29" fillId="34" borderId="14" xfId="0" applyFont="1" applyFill="1" applyBorder="1" applyAlignment="1">
      <alignment horizontal="center" vertical="center"/>
    </xf>
    <xf numFmtId="9" fontId="31" fillId="0" borderId="12" xfId="1" applyFont="1" applyFill="1" applyBorder="1" applyAlignment="1">
      <alignment horizontal="center" vertical="center"/>
    </xf>
    <xf numFmtId="9" fontId="31" fillId="0" borderId="14" xfId="1" applyFont="1" applyFill="1" applyBorder="1" applyAlignment="1">
      <alignment horizontal="center" vertical="center"/>
    </xf>
    <xf numFmtId="0" fontId="29" fillId="34" borderId="15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/>
    </xf>
    <xf numFmtId="9" fontId="30" fillId="0" borderId="12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614794</xdr:colOff>
      <xdr:row>0</xdr:row>
      <xdr:rowOff>77931</xdr:rowOff>
    </xdr:from>
    <xdr:to>
      <xdr:col>10</xdr:col>
      <xdr:colOff>251114</xdr:colOff>
      <xdr:row>3</xdr:row>
      <xdr:rowOff>60613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0862" y="77931"/>
          <a:ext cx="943843" cy="502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5</xdr:row>
      <xdr:rowOff>129540</xdr:rowOff>
    </xdr:from>
    <xdr:to>
      <xdr:col>6</xdr:col>
      <xdr:colOff>235782</xdr:colOff>
      <xdr:row>14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CA1320-12B9-4C40-8A88-FB16C616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196340"/>
          <a:ext cx="5135442" cy="163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</xdr:row>
      <xdr:rowOff>125472</xdr:rowOff>
    </xdr:from>
    <xdr:to>
      <xdr:col>6</xdr:col>
      <xdr:colOff>1268266</xdr:colOff>
      <xdr:row>7</xdr:row>
      <xdr:rowOff>91440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9671B1-1C73-439F-BE86-5D4B9B0D1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26512"/>
          <a:ext cx="6206026" cy="9565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376844</xdr:colOff>
      <xdr:row>11</xdr:row>
      <xdr:rowOff>45720</xdr:rowOff>
    </xdr:from>
    <xdr:to>
      <xdr:col>6</xdr:col>
      <xdr:colOff>886353</xdr:colOff>
      <xdr:row>15</xdr:row>
      <xdr:rowOff>159394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D3126E-C9F5-4BD9-9C13-3E1571E8D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7564" y="2560320"/>
          <a:ext cx="4090909" cy="7842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2</xdr:row>
      <xdr:rowOff>142066</xdr:rowOff>
    </xdr:from>
    <xdr:to>
      <xdr:col>7</xdr:col>
      <xdr:colOff>617798</xdr:colOff>
      <xdr:row>20</xdr:row>
      <xdr:rowOff>129845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7D379A-0951-4A3C-88B8-1216B5487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" y="629746"/>
          <a:ext cx="6218498" cy="32796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731520</xdr:colOff>
      <xdr:row>2</xdr:row>
      <xdr:rowOff>121416</xdr:rowOff>
    </xdr:from>
    <xdr:to>
      <xdr:col>7</xdr:col>
      <xdr:colOff>217238</xdr:colOff>
      <xdr:row>17</xdr:row>
      <xdr:rowOff>91722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3D2687-EB27-4B7B-9E57-DF53636A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609096"/>
          <a:ext cx="4781618" cy="27135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47625</xdr:rowOff>
    </xdr:from>
    <xdr:to>
      <xdr:col>9</xdr:col>
      <xdr:colOff>280672</xdr:colOff>
      <xdr:row>3</xdr:row>
      <xdr:rowOff>35719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E5FE39-1AE7-411A-B0BA-9FA09E3BF9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182" t="21945" r="9091" b="21623"/>
        <a:stretch/>
      </xdr:blipFill>
      <xdr:spPr>
        <a:xfrm>
          <a:off x="5448300" y="47625"/>
          <a:ext cx="1423672" cy="559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X69"/>
  <sheetViews>
    <sheetView showGridLines="0" tabSelected="1" topLeftCell="AK1" zoomScale="85" zoomScaleNormal="85" zoomScaleSheetLayoutView="81" workbookViewId="0">
      <selection activeCell="AW11" sqref="AW11"/>
    </sheetView>
  </sheetViews>
  <sheetFormatPr baseColWidth="10" defaultColWidth="11.5703125" defaultRowHeight="15" x14ac:dyDescent="0.2"/>
  <cols>
    <col min="1" max="1" width="10.42578125" style="63" customWidth="1"/>
    <col min="2" max="2" width="8" style="63" customWidth="1"/>
    <col min="3" max="3" width="8.28515625" style="63" customWidth="1"/>
    <col min="4" max="6" width="11.5703125" style="63"/>
    <col min="7" max="7" width="18.85546875" style="63" customWidth="1"/>
    <col min="8" max="8" width="13.140625" style="63" customWidth="1"/>
    <col min="9" max="9" width="21.85546875" style="63" customWidth="1"/>
    <col min="10" max="10" width="23.42578125" style="63" customWidth="1"/>
    <col min="11" max="11" width="11.5703125" style="63"/>
    <col min="12" max="12" width="8.28515625" style="63" customWidth="1"/>
    <col min="13" max="13" width="10" style="63" customWidth="1"/>
    <col min="14" max="16" width="11.5703125" style="63"/>
    <col min="17" max="17" width="19.7109375" style="63" customWidth="1"/>
    <col min="18" max="18" width="17.7109375" style="63" customWidth="1"/>
    <col min="19" max="19" width="13.7109375" style="63" customWidth="1"/>
    <col min="20" max="20" width="19.7109375" style="63" customWidth="1"/>
    <col min="21" max="21" width="11.5703125" style="63"/>
    <col min="22" max="22" width="8.7109375" style="63" customWidth="1"/>
    <col min="23" max="25" width="11.5703125" style="63"/>
    <col min="26" max="26" width="22.5703125" style="63" customWidth="1"/>
    <col min="27" max="27" width="14.28515625" style="63" customWidth="1"/>
    <col min="28" max="28" width="13.7109375" style="63" customWidth="1"/>
    <col min="29" max="29" width="22.85546875" style="63" customWidth="1"/>
    <col min="30" max="30" width="13" style="63" customWidth="1"/>
    <col min="31" max="31" width="7.85546875" style="63" customWidth="1"/>
    <col min="32" max="33" width="11.5703125" style="63"/>
    <col min="34" max="34" width="10.5703125" style="63" customWidth="1"/>
    <col min="35" max="35" width="22.85546875" style="63" customWidth="1"/>
    <col min="36" max="36" width="13.85546875" style="63" customWidth="1"/>
    <col min="37" max="37" width="17.28515625" style="63" customWidth="1"/>
    <col min="38" max="38" width="19" style="63" customWidth="1"/>
    <col min="39" max="40" width="11.5703125" style="63"/>
    <col min="41" max="41" width="8.42578125" style="63" customWidth="1"/>
    <col min="42" max="43" width="11.5703125" style="63"/>
    <col min="44" max="44" width="11.7109375" style="63" bestFit="1" customWidth="1"/>
    <col min="45" max="45" width="21.5703125" style="63" customWidth="1"/>
    <col min="46" max="47" width="14.28515625" style="63" customWidth="1"/>
    <col min="48" max="48" width="19.7109375" style="63" customWidth="1"/>
    <col min="49" max="50" width="11.5703125" style="63"/>
    <col min="51" max="51" width="9.140625" style="63" customWidth="1"/>
    <col min="52" max="52" width="11.5703125" style="63"/>
    <col min="53" max="53" width="17" style="63" customWidth="1"/>
    <col min="54" max="54" width="11.5703125" style="63"/>
    <col min="55" max="55" width="22.7109375" style="63" customWidth="1"/>
    <col min="56" max="56" width="19.85546875" style="63" customWidth="1"/>
    <col min="57" max="57" width="15.140625" style="63" customWidth="1"/>
    <col min="58" max="58" width="22.85546875" style="63" customWidth="1"/>
    <col min="59" max="59" width="11.5703125" style="63"/>
    <col min="60" max="60" width="7.5703125" style="63" customWidth="1"/>
    <col min="61" max="63" width="11.5703125" style="63"/>
    <col min="64" max="64" width="34.85546875" style="63" customWidth="1"/>
    <col min="65" max="65" width="14.140625" style="63" customWidth="1"/>
    <col min="66" max="68" width="11.5703125" style="63"/>
    <col min="69" max="69" width="10.28515625" style="63" customWidth="1"/>
    <col min="70" max="72" width="11.5703125" style="63"/>
    <col min="73" max="73" width="34.85546875" style="63" customWidth="1"/>
    <col min="74" max="76" width="13.7109375" style="63" customWidth="1"/>
    <col min="77" max="16384" width="11.5703125" style="63"/>
  </cols>
  <sheetData>
    <row r="1" spans="1:76" s="62" customFormat="1" ht="31.9" customHeight="1" x14ac:dyDescent="0.25">
      <c r="A1" s="272" t="s">
        <v>140</v>
      </c>
      <c r="B1" s="272"/>
      <c r="C1" s="269" t="s">
        <v>25</v>
      </c>
      <c r="D1" s="269"/>
      <c r="E1" s="269"/>
      <c r="F1" s="269"/>
      <c r="G1" s="269"/>
      <c r="H1" s="269"/>
      <c r="I1" s="269"/>
      <c r="J1" s="269"/>
      <c r="K1" s="123"/>
      <c r="L1" s="123"/>
      <c r="M1" s="269" t="s">
        <v>25</v>
      </c>
      <c r="N1" s="269"/>
      <c r="O1" s="269"/>
      <c r="P1" s="269"/>
      <c r="Q1" s="269"/>
      <c r="R1" s="269"/>
      <c r="S1" s="269"/>
      <c r="T1" s="269"/>
      <c r="U1" s="123"/>
      <c r="V1" s="269" t="s">
        <v>25</v>
      </c>
      <c r="W1" s="269"/>
      <c r="X1" s="269"/>
      <c r="Y1" s="269"/>
      <c r="Z1" s="269"/>
      <c r="AA1" s="269"/>
      <c r="AB1" s="269"/>
      <c r="AC1" s="269"/>
      <c r="AD1" s="123"/>
      <c r="AE1" s="269" t="s">
        <v>25</v>
      </c>
      <c r="AF1" s="269"/>
      <c r="AG1" s="269"/>
      <c r="AH1" s="269"/>
      <c r="AI1" s="269"/>
      <c r="AJ1" s="269"/>
      <c r="AK1" s="269"/>
      <c r="AL1" s="269"/>
      <c r="AM1" s="123"/>
      <c r="AN1" s="117"/>
      <c r="AO1" s="269" t="s">
        <v>25</v>
      </c>
      <c r="AP1" s="269"/>
      <c r="AQ1" s="269"/>
      <c r="AR1" s="269"/>
      <c r="AS1" s="269"/>
      <c r="AT1" s="269"/>
      <c r="AU1" s="269"/>
      <c r="AV1" s="269"/>
      <c r="AW1" s="117"/>
      <c r="AX1" s="123"/>
      <c r="AY1" s="269" t="s">
        <v>25</v>
      </c>
      <c r="AZ1" s="269"/>
      <c r="BA1" s="269"/>
      <c r="BB1" s="269"/>
      <c r="BC1" s="269"/>
      <c r="BD1" s="269"/>
      <c r="BE1" s="269"/>
      <c r="BF1" s="269"/>
      <c r="BH1" s="269" t="s">
        <v>25</v>
      </c>
      <c r="BI1" s="269"/>
      <c r="BJ1" s="269"/>
      <c r="BK1" s="269"/>
      <c r="BL1" s="269"/>
      <c r="BM1" s="269"/>
      <c r="BN1" s="269"/>
      <c r="BO1" s="269"/>
      <c r="BQ1" s="269" t="s">
        <v>25</v>
      </c>
      <c r="BR1" s="269"/>
      <c r="BS1" s="269"/>
      <c r="BT1" s="269"/>
      <c r="BU1" s="269"/>
      <c r="BV1" s="269"/>
      <c r="BW1" s="269"/>
      <c r="BX1" s="269"/>
    </row>
    <row r="2" spans="1:76" s="62" customFormat="1" ht="15.75" x14ac:dyDescent="0.25">
      <c r="A2" s="273">
        <f>+SUM(H15+R15+AA15+AT15+BD15+BM15+BV15)+AJ15</f>
        <v>18207</v>
      </c>
      <c r="B2" s="273"/>
      <c r="C2" s="270">
        <v>46204</v>
      </c>
      <c r="D2" s="270"/>
      <c r="E2" s="270"/>
      <c r="F2" s="270"/>
      <c r="G2" s="270"/>
      <c r="H2" s="270"/>
      <c r="I2" s="270"/>
      <c r="J2" s="270"/>
      <c r="K2" s="123"/>
      <c r="L2" s="123"/>
      <c r="M2" s="270">
        <v>46204</v>
      </c>
      <c r="N2" s="270"/>
      <c r="O2" s="270"/>
      <c r="P2" s="270"/>
      <c r="Q2" s="270"/>
      <c r="R2" s="270"/>
      <c r="S2" s="270"/>
      <c r="T2" s="270"/>
      <c r="U2" s="123"/>
      <c r="V2" s="270">
        <v>46204</v>
      </c>
      <c r="W2" s="270"/>
      <c r="X2" s="270"/>
      <c r="Y2" s="270"/>
      <c r="Z2" s="270"/>
      <c r="AA2" s="270"/>
      <c r="AB2" s="270"/>
      <c r="AC2" s="270"/>
      <c r="AD2" s="123"/>
      <c r="AE2" s="270">
        <v>46204</v>
      </c>
      <c r="AF2" s="270"/>
      <c r="AG2" s="270"/>
      <c r="AH2" s="270"/>
      <c r="AI2" s="270"/>
      <c r="AJ2" s="270"/>
      <c r="AK2" s="270"/>
      <c r="AL2" s="270"/>
      <c r="AM2" s="123"/>
      <c r="AN2" s="117"/>
      <c r="AO2" s="270">
        <v>46204</v>
      </c>
      <c r="AP2" s="270"/>
      <c r="AQ2" s="270"/>
      <c r="AR2" s="270"/>
      <c r="AS2" s="270"/>
      <c r="AT2" s="270"/>
      <c r="AU2" s="270"/>
      <c r="AV2" s="270"/>
      <c r="AW2" s="117"/>
      <c r="AX2" s="123"/>
      <c r="AY2" s="270">
        <v>46204</v>
      </c>
      <c r="AZ2" s="270"/>
      <c r="BA2" s="270"/>
      <c r="BB2" s="270"/>
      <c r="BC2" s="270"/>
      <c r="BD2" s="270"/>
      <c r="BE2" s="270"/>
      <c r="BF2" s="270"/>
      <c r="BH2" s="270">
        <v>46204</v>
      </c>
      <c r="BI2" s="270"/>
      <c r="BJ2" s="270"/>
      <c r="BK2" s="270"/>
      <c r="BL2" s="270"/>
      <c r="BM2" s="270"/>
      <c r="BN2" s="270"/>
      <c r="BO2" s="270"/>
      <c r="BQ2" s="270">
        <v>46204</v>
      </c>
      <c r="BR2" s="270"/>
      <c r="BS2" s="270"/>
      <c r="BT2" s="270"/>
      <c r="BU2" s="270"/>
      <c r="BV2" s="270"/>
      <c r="BW2" s="270"/>
      <c r="BX2" s="270"/>
    </row>
    <row r="3" spans="1:76" s="62" customFormat="1" ht="15.75" customHeight="1" x14ac:dyDescent="0.25">
      <c r="A3" s="273" t="s">
        <v>141</v>
      </c>
      <c r="B3" s="273"/>
      <c r="C3" s="63"/>
      <c r="D3" s="64"/>
      <c r="E3" s="64"/>
      <c r="F3" s="64"/>
      <c r="G3" s="64"/>
      <c r="H3" s="65"/>
      <c r="K3" s="63"/>
      <c r="M3" s="63"/>
      <c r="N3" s="64"/>
      <c r="O3" s="64"/>
      <c r="P3" s="64"/>
      <c r="Q3" s="64"/>
      <c r="R3" s="65"/>
      <c r="V3" s="63"/>
      <c r="W3" s="64"/>
      <c r="X3" s="64"/>
      <c r="Y3" s="64"/>
      <c r="Z3" s="64"/>
      <c r="AA3" s="65"/>
      <c r="AE3" s="63"/>
      <c r="AF3" s="64"/>
      <c r="AG3" s="64"/>
      <c r="AH3" s="64"/>
      <c r="AI3" s="64"/>
      <c r="AJ3" s="65"/>
      <c r="AN3" s="118"/>
      <c r="AO3" s="268" t="s">
        <v>155</v>
      </c>
      <c r="AP3" s="268"/>
      <c r="AQ3" s="64"/>
      <c r="AR3" s="64"/>
      <c r="AS3" s="64"/>
      <c r="AT3" s="65"/>
      <c r="AW3" s="118"/>
      <c r="AX3" s="123"/>
      <c r="AY3" s="63"/>
      <c r="AZ3" s="64"/>
      <c r="BA3" s="64"/>
      <c r="BB3" s="64"/>
      <c r="BC3" s="64"/>
      <c r="BD3" s="65"/>
      <c r="BH3" s="63"/>
      <c r="BI3" s="64"/>
      <c r="BJ3" s="64"/>
      <c r="BK3" s="64"/>
      <c r="BL3" s="64"/>
      <c r="BM3" s="65"/>
      <c r="BQ3" s="63"/>
      <c r="BR3" s="64"/>
      <c r="BS3" s="64"/>
      <c r="BT3" s="64"/>
      <c r="BU3" s="64"/>
      <c r="BV3" s="65"/>
    </row>
    <row r="4" spans="1:76" ht="21" customHeight="1" x14ac:dyDescent="0.25">
      <c r="A4" s="274">
        <f>+SUM(H19+R19+AA19+AT19+BD19+BM19+BV19)+AJ19</f>
        <v>4444</v>
      </c>
      <c r="B4" s="274"/>
      <c r="C4" s="62"/>
      <c r="D4" s="281" t="s">
        <v>7</v>
      </c>
      <c r="E4" s="282"/>
      <c r="F4" s="285" t="s">
        <v>1</v>
      </c>
      <c r="G4" s="285" t="s">
        <v>2</v>
      </c>
      <c r="H4" s="285" t="s">
        <v>20</v>
      </c>
      <c r="I4" s="285"/>
      <c r="J4" s="285"/>
      <c r="K4" s="67"/>
      <c r="M4" s="62"/>
      <c r="N4" s="281" t="s">
        <v>7</v>
      </c>
      <c r="O4" s="282"/>
      <c r="P4" s="285" t="s">
        <v>1</v>
      </c>
      <c r="Q4" s="285" t="s">
        <v>2</v>
      </c>
      <c r="R4" s="285" t="s">
        <v>20</v>
      </c>
      <c r="S4" s="285"/>
      <c r="T4" s="285"/>
      <c r="V4" s="62"/>
      <c r="W4" s="281" t="s">
        <v>7</v>
      </c>
      <c r="X4" s="282"/>
      <c r="Y4" s="285" t="s">
        <v>1</v>
      </c>
      <c r="Z4" s="285" t="s">
        <v>2</v>
      </c>
      <c r="AA4" s="285" t="s">
        <v>20</v>
      </c>
      <c r="AB4" s="285"/>
      <c r="AC4" s="285"/>
      <c r="AE4" s="62"/>
      <c r="AF4" s="281" t="s">
        <v>7</v>
      </c>
      <c r="AG4" s="282"/>
      <c r="AH4" s="285" t="s">
        <v>1</v>
      </c>
      <c r="AI4" s="285" t="s">
        <v>2</v>
      </c>
      <c r="AJ4" s="285" t="s">
        <v>20</v>
      </c>
      <c r="AK4" s="285"/>
      <c r="AL4" s="285"/>
      <c r="AN4" s="124"/>
      <c r="AO4" s="62"/>
      <c r="AP4" s="283" t="s">
        <v>7</v>
      </c>
      <c r="AQ4" s="282"/>
      <c r="AR4" s="285" t="s">
        <v>1</v>
      </c>
      <c r="AS4" s="285" t="s">
        <v>2</v>
      </c>
      <c r="AT4" s="285" t="s">
        <v>20</v>
      </c>
      <c r="AU4" s="285"/>
      <c r="AV4" s="285"/>
      <c r="AW4" s="119"/>
      <c r="AX4" s="121"/>
      <c r="AY4" s="62"/>
      <c r="AZ4" s="281" t="s">
        <v>7</v>
      </c>
      <c r="BA4" s="282"/>
      <c r="BB4" s="285" t="s">
        <v>1</v>
      </c>
      <c r="BC4" s="285" t="s">
        <v>2</v>
      </c>
      <c r="BD4" s="285" t="s">
        <v>20</v>
      </c>
      <c r="BE4" s="285"/>
      <c r="BF4" s="285"/>
      <c r="BH4" s="62"/>
      <c r="BI4" s="281" t="s">
        <v>7</v>
      </c>
      <c r="BJ4" s="282"/>
      <c r="BK4" s="285" t="s">
        <v>1</v>
      </c>
      <c r="BL4" s="285" t="s">
        <v>2</v>
      </c>
      <c r="BM4" s="285" t="s">
        <v>20</v>
      </c>
      <c r="BN4" s="285"/>
      <c r="BO4" s="285"/>
      <c r="BQ4" s="62"/>
      <c r="BR4" s="281" t="s">
        <v>7</v>
      </c>
      <c r="BS4" s="282"/>
      <c r="BT4" s="285" t="s">
        <v>1</v>
      </c>
      <c r="BU4" s="285" t="s">
        <v>2</v>
      </c>
      <c r="BV4" s="285" t="s">
        <v>20</v>
      </c>
      <c r="BW4" s="285"/>
      <c r="BX4" s="285"/>
    </row>
    <row r="5" spans="1:76" ht="15.75" x14ac:dyDescent="0.25">
      <c r="A5" s="275" t="s">
        <v>142</v>
      </c>
      <c r="B5" s="275"/>
      <c r="C5" s="62"/>
      <c r="D5" s="283"/>
      <c r="E5" s="284"/>
      <c r="F5" s="285"/>
      <c r="G5" s="285"/>
      <c r="H5" s="135" t="s">
        <v>9</v>
      </c>
      <c r="I5" s="135" t="s">
        <v>10</v>
      </c>
      <c r="J5" s="135" t="s">
        <v>13</v>
      </c>
      <c r="K5" s="69"/>
      <c r="M5" s="62"/>
      <c r="N5" s="283"/>
      <c r="O5" s="284"/>
      <c r="P5" s="285"/>
      <c r="Q5" s="285"/>
      <c r="R5" s="135" t="s">
        <v>9</v>
      </c>
      <c r="S5" s="135" t="s">
        <v>10</v>
      </c>
      <c r="T5" s="135" t="s">
        <v>13</v>
      </c>
      <c r="V5" s="62"/>
      <c r="W5" s="283"/>
      <c r="X5" s="284"/>
      <c r="Y5" s="285"/>
      <c r="Z5" s="285"/>
      <c r="AA5" s="135" t="s">
        <v>9</v>
      </c>
      <c r="AB5" s="135" t="s">
        <v>10</v>
      </c>
      <c r="AC5" s="135" t="s">
        <v>13</v>
      </c>
      <c r="AE5" s="62"/>
      <c r="AF5" s="283"/>
      <c r="AG5" s="284"/>
      <c r="AH5" s="285"/>
      <c r="AI5" s="285"/>
      <c r="AJ5" s="135" t="s">
        <v>9</v>
      </c>
      <c r="AK5" s="135" t="s">
        <v>10</v>
      </c>
      <c r="AL5" s="135" t="s">
        <v>13</v>
      </c>
      <c r="AN5" s="120"/>
      <c r="AO5" s="62"/>
      <c r="AP5" s="283"/>
      <c r="AQ5" s="284"/>
      <c r="AR5" s="285"/>
      <c r="AS5" s="285"/>
      <c r="AT5" s="135" t="s">
        <v>9</v>
      </c>
      <c r="AU5" s="135" t="s">
        <v>10</v>
      </c>
      <c r="AV5" s="135" t="s">
        <v>13</v>
      </c>
      <c r="AW5" s="120"/>
      <c r="AX5" s="121"/>
      <c r="AY5" s="62"/>
      <c r="AZ5" s="283"/>
      <c r="BA5" s="284"/>
      <c r="BB5" s="285"/>
      <c r="BC5" s="285"/>
      <c r="BD5" s="135" t="s">
        <v>9</v>
      </c>
      <c r="BE5" s="135" t="s">
        <v>10</v>
      </c>
      <c r="BF5" s="135" t="s">
        <v>13</v>
      </c>
      <c r="BH5" s="62"/>
      <c r="BI5" s="283"/>
      <c r="BJ5" s="284"/>
      <c r="BK5" s="285"/>
      <c r="BL5" s="285"/>
      <c r="BM5" s="129" t="s">
        <v>9</v>
      </c>
      <c r="BN5" s="129" t="s">
        <v>10</v>
      </c>
      <c r="BO5" s="129" t="s">
        <v>13</v>
      </c>
      <c r="BQ5" s="62"/>
      <c r="BR5" s="283"/>
      <c r="BS5" s="284"/>
      <c r="BT5" s="285"/>
      <c r="BU5" s="285"/>
      <c r="BV5" s="207" t="s">
        <v>9</v>
      </c>
      <c r="BW5" s="207" t="s">
        <v>10</v>
      </c>
      <c r="BX5" s="207" t="s">
        <v>13</v>
      </c>
    </row>
    <row r="6" spans="1:76" ht="15.75" x14ac:dyDescent="0.2">
      <c r="A6" s="271">
        <f>+SUM(H17+R17+AA17+AJ17+AT17+BD17+BM17+BV17)</f>
        <v>1795361.6800000002</v>
      </c>
      <c r="B6" s="271"/>
      <c r="C6" s="62"/>
      <c r="D6" s="111" t="s">
        <v>3</v>
      </c>
      <c r="E6" s="112"/>
      <c r="F6" s="110">
        <v>20</v>
      </c>
      <c r="G6" s="70" t="s">
        <v>118</v>
      </c>
      <c r="H6" s="286" t="s">
        <v>11</v>
      </c>
      <c r="I6" s="286" t="s">
        <v>12</v>
      </c>
      <c r="J6" s="286" t="s">
        <v>26</v>
      </c>
      <c r="M6" s="62"/>
      <c r="N6" s="111" t="s">
        <v>3</v>
      </c>
      <c r="O6" s="112"/>
      <c r="P6" s="110">
        <v>20</v>
      </c>
      <c r="Q6" s="70" t="s">
        <v>118</v>
      </c>
      <c r="R6" s="286" t="s">
        <v>11</v>
      </c>
      <c r="S6" s="286" t="s">
        <v>12</v>
      </c>
      <c r="T6" s="286" t="s">
        <v>26</v>
      </c>
      <c r="V6" s="62"/>
      <c r="W6" s="111" t="s">
        <v>3</v>
      </c>
      <c r="X6" s="112"/>
      <c r="Y6" s="110">
        <v>20</v>
      </c>
      <c r="Z6" s="70" t="s">
        <v>118</v>
      </c>
      <c r="AA6" s="286" t="s">
        <v>11</v>
      </c>
      <c r="AB6" s="286" t="s">
        <v>12</v>
      </c>
      <c r="AC6" s="286" t="s">
        <v>26</v>
      </c>
      <c r="AE6" s="62"/>
      <c r="AF6" s="111" t="s">
        <v>3</v>
      </c>
      <c r="AG6" s="112"/>
      <c r="AH6" s="110">
        <v>20</v>
      </c>
      <c r="AI6" s="70" t="s">
        <v>118</v>
      </c>
      <c r="AJ6" s="286" t="s">
        <v>11</v>
      </c>
      <c r="AK6" s="286" t="s">
        <v>12</v>
      </c>
      <c r="AL6" s="286" t="s">
        <v>26</v>
      </c>
      <c r="AN6" s="121"/>
      <c r="AO6" s="62"/>
      <c r="AP6" s="111" t="s">
        <v>3</v>
      </c>
      <c r="AQ6" s="112"/>
      <c r="AR6" s="110">
        <v>20</v>
      </c>
      <c r="AS6" s="70" t="s">
        <v>118</v>
      </c>
      <c r="AT6" s="286" t="s">
        <v>11</v>
      </c>
      <c r="AU6" s="286" t="s">
        <v>12</v>
      </c>
      <c r="AV6" s="286" t="s">
        <v>26</v>
      </c>
      <c r="AW6" s="121"/>
      <c r="AX6" s="121"/>
      <c r="AY6" s="62"/>
      <c r="AZ6" s="111" t="s">
        <v>3</v>
      </c>
      <c r="BA6" s="112"/>
      <c r="BB6" s="110">
        <v>20</v>
      </c>
      <c r="BC6" s="70" t="s">
        <v>118</v>
      </c>
      <c r="BD6" s="286" t="s">
        <v>11</v>
      </c>
      <c r="BE6" s="286" t="s">
        <v>12</v>
      </c>
      <c r="BF6" s="286" t="s">
        <v>26</v>
      </c>
      <c r="BH6" s="62"/>
      <c r="BI6" s="111" t="s">
        <v>3</v>
      </c>
      <c r="BJ6" s="112"/>
      <c r="BK6" s="110">
        <v>20</v>
      </c>
      <c r="BL6" s="70" t="s">
        <v>118</v>
      </c>
      <c r="BM6" s="286" t="s">
        <v>11</v>
      </c>
      <c r="BN6" s="286" t="s">
        <v>12</v>
      </c>
      <c r="BO6" s="286" t="s">
        <v>26</v>
      </c>
      <c r="BQ6" s="62"/>
      <c r="BR6" s="111" t="s">
        <v>3</v>
      </c>
      <c r="BS6" s="112"/>
      <c r="BT6" s="110">
        <v>20</v>
      </c>
      <c r="BU6" s="70" t="s">
        <v>118</v>
      </c>
      <c r="BV6" s="286" t="s">
        <v>11</v>
      </c>
      <c r="BW6" s="286" t="s">
        <v>12</v>
      </c>
      <c r="BX6" s="286" t="s">
        <v>26</v>
      </c>
    </row>
    <row r="7" spans="1:76" ht="15.75" x14ac:dyDescent="0.2">
      <c r="B7" s="73"/>
      <c r="C7" s="62"/>
      <c r="D7" s="111" t="s">
        <v>8</v>
      </c>
      <c r="E7" s="112"/>
      <c r="F7" s="110">
        <v>30</v>
      </c>
      <c r="G7" s="71" t="s">
        <v>58</v>
      </c>
      <c r="H7" s="286"/>
      <c r="I7" s="286"/>
      <c r="J7" s="286"/>
      <c r="K7" s="72"/>
      <c r="M7" s="62"/>
      <c r="N7" s="111" t="s">
        <v>8</v>
      </c>
      <c r="O7" s="112"/>
      <c r="P7" s="110">
        <v>30</v>
      </c>
      <c r="Q7" s="71" t="s">
        <v>58</v>
      </c>
      <c r="R7" s="286"/>
      <c r="S7" s="286"/>
      <c r="T7" s="286"/>
      <c r="V7" s="62"/>
      <c r="W7" s="111" t="s">
        <v>8</v>
      </c>
      <c r="X7" s="112"/>
      <c r="Y7" s="110">
        <v>30</v>
      </c>
      <c r="Z7" s="71" t="s">
        <v>58</v>
      </c>
      <c r="AA7" s="286"/>
      <c r="AB7" s="286"/>
      <c r="AC7" s="286"/>
      <c r="AE7" s="62"/>
      <c r="AF7" s="111" t="s">
        <v>8</v>
      </c>
      <c r="AG7" s="112"/>
      <c r="AH7" s="110">
        <v>30</v>
      </c>
      <c r="AI7" s="71" t="s">
        <v>58</v>
      </c>
      <c r="AJ7" s="286"/>
      <c r="AK7" s="286"/>
      <c r="AL7" s="286"/>
      <c r="AN7" s="125"/>
      <c r="AO7" s="62"/>
      <c r="AP7" s="111" t="s">
        <v>8</v>
      </c>
      <c r="AQ7" s="112"/>
      <c r="AR7" s="110">
        <v>30</v>
      </c>
      <c r="AS7" s="71" t="s">
        <v>58</v>
      </c>
      <c r="AT7" s="286"/>
      <c r="AU7" s="286"/>
      <c r="AV7" s="286"/>
      <c r="AW7" s="122"/>
      <c r="AX7" s="121"/>
      <c r="AY7" s="62"/>
      <c r="AZ7" s="111" t="s">
        <v>8</v>
      </c>
      <c r="BA7" s="112"/>
      <c r="BB7" s="110">
        <v>30</v>
      </c>
      <c r="BC7" s="71" t="s">
        <v>58</v>
      </c>
      <c r="BD7" s="286"/>
      <c r="BE7" s="286"/>
      <c r="BF7" s="286"/>
      <c r="BH7" s="62"/>
      <c r="BI7" s="111" t="s">
        <v>8</v>
      </c>
      <c r="BJ7" s="112"/>
      <c r="BK7" s="110">
        <v>30</v>
      </c>
      <c r="BL7" s="71" t="s">
        <v>58</v>
      </c>
      <c r="BM7" s="286"/>
      <c r="BN7" s="286"/>
      <c r="BO7" s="286"/>
      <c r="BQ7" s="62"/>
      <c r="BR7" s="111" t="s">
        <v>8</v>
      </c>
      <c r="BS7" s="112"/>
      <c r="BT7" s="110">
        <v>30</v>
      </c>
      <c r="BU7" s="71" t="s">
        <v>58</v>
      </c>
      <c r="BV7" s="286"/>
      <c r="BW7" s="286"/>
      <c r="BX7" s="286"/>
    </row>
    <row r="8" spans="1:76" ht="15.75" x14ac:dyDescent="0.2">
      <c r="C8" s="62"/>
      <c r="D8" s="111" t="s">
        <v>4</v>
      </c>
      <c r="E8" s="112"/>
      <c r="F8" s="110">
        <v>20</v>
      </c>
      <c r="G8" s="71" t="s">
        <v>59</v>
      </c>
      <c r="H8" s="286"/>
      <c r="I8" s="286"/>
      <c r="J8" s="286"/>
      <c r="M8" s="62"/>
      <c r="N8" s="111" t="s">
        <v>4</v>
      </c>
      <c r="O8" s="112"/>
      <c r="P8" s="110">
        <v>20</v>
      </c>
      <c r="Q8" s="71" t="s">
        <v>59</v>
      </c>
      <c r="R8" s="286"/>
      <c r="S8" s="286"/>
      <c r="T8" s="286"/>
      <c r="V8" s="62"/>
      <c r="W8" s="111" t="s">
        <v>4</v>
      </c>
      <c r="X8" s="112"/>
      <c r="Y8" s="110">
        <v>20</v>
      </c>
      <c r="Z8" s="71" t="s">
        <v>59</v>
      </c>
      <c r="AA8" s="286"/>
      <c r="AB8" s="286"/>
      <c r="AC8" s="286"/>
      <c r="AE8" s="62"/>
      <c r="AF8" s="111" t="s">
        <v>4</v>
      </c>
      <c r="AG8" s="112"/>
      <c r="AH8" s="110">
        <v>20</v>
      </c>
      <c r="AI8" s="71" t="s">
        <v>59</v>
      </c>
      <c r="AJ8" s="286"/>
      <c r="AK8" s="286"/>
      <c r="AL8" s="286"/>
      <c r="AN8" s="121"/>
      <c r="AO8" s="62"/>
      <c r="AP8" s="111" t="s">
        <v>4</v>
      </c>
      <c r="AQ8" s="112"/>
      <c r="AR8" s="110">
        <v>20</v>
      </c>
      <c r="AS8" s="71" t="s">
        <v>59</v>
      </c>
      <c r="AT8" s="286"/>
      <c r="AU8" s="286"/>
      <c r="AV8" s="286"/>
      <c r="AW8" s="121"/>
      <c r="AX8" s="121"/>
      <c r="AY8" s="62"/>
      <c r="AZ8" s="111" t="s">
        <v>4</v>
      </c>
      <c r="BA8" s="112"/>
      <c r="BB8" s="110">
        <v>20</v>
      </c>
      <c r="BC8" s="71" t="s">
        <v>59</v>
      </c>
      <c r="BD8" s="286"/>
      <c r="BE8" s="286"/>
      <c r="BF8" s="286"/>
      <c r="BH8" s="62"/>
      <c r="BI8" s="111" t="s">
        <v>4</v>
      </c>
      <c r="BJ8" s="112"/>
      <c r="BK8" s="110">
        <v>20</v>
      </c>
      <c r="BL8" s="71" t="s">
        <v>59</v>
      </c>
      <c r="BM8" s="286"/>
      <c r="BN8" s="286"/>
      <c r="BO8" s="286"/>
      <c r="BQ8" s="62"/>
      <c r="BR8" s="111" t="s">
        <v>4</v>
      </c>
      <c r="BS8" s="112"/>
      <c r="BT8" s="110">
        <v>20</v>
      </c>
      <c r="BU8" s="71" t="s">
        <v>59</v>
      </c>
      <c r="BV8" s="286"/>
      <c r="BW8" s="286"/>
      <c r="BX8" s="286"/>
    </row>
    <row r="9" spans="1:76" ht="15.75" x14ac:dyDescent="0.2">
      <c r="C9" s="62"/>
      <c r="D9" s="111" t="s">
        <v>60</v>
      </c>
      <c r="E9" s="112"/>
      <c r="F9" s="110">
        <v>10</v>
      </c>
      <c r="G9" s="136">
        <v>0.8</v>
      </c>
      <c r="H9" s="286"/>
      <c r="I9" s="286"/>
      <c r="J9" s="286"/>
      <c r="M9" s="62"/>
      <c r="N9" s="111" t="s">
        <v>60</v>
      </c>
      <c r="O9" s="112"/>
      <c r="P9" s="110">
        <v>10</v>
      </c>
      <c r="Q9" s="136">
        <v>0.8</v>
      </c>
      <c r="R9" s="286"/>
      <c r="S9" s="286"/>
      <c r="T9" s="286"/>
      <c r="V9" s="62"/>
      <c r="W9" s="111" t="s">
        <v>60</v>
      </c>
      <c r="X9" s="112"/>
      <c r="Y9" s="110">
        <v>10</v>
      </c>
      <c r="Z9" s="136">
        <v>0.8</v>
      </c>
      <c r="AA9" s="286"/>
      <c r="AB9" s="286"/>
      <c r="AC9" s="286"/>
      <c r="AE9" s="62"/>
      <c r="AF9" s="111" t="s">
        <v>60</v>
      </c>
      <c r="AG9" s="112"/>
      <c r="AH9" s="110">
        <v>10</v>
      </c>
      <c r="AI9" s="136">
        <v>0.8</v>
      </c>
      <c r="AJ9" s="286"/>
      <c r="AK9" s="286"/>
      <c r="AL9" s="286"/>
      <c r="AN9" s="121"/>
      <c r="AO9" s="62"/>
      <c r="AP9" s="111" t="s">
        <v>60</v>
      </c>
      <c r="AQ9" s="112"/>
      <c r="AR9" s="110">
        <v>10</v>
      </c>
      <c r="AS9" s="136">
        <v>0.8</v>
      </c>
      <c r="AT9" s="286"/>
      <c r="AU9" s="286"/>
      <c r="AV9" s="286"/>
      <c r="AW9" s="121"/>
      <c r="AX9" s="121"/>
      <c r="AY9" s="62"/>
      <c r="AZ9" s="111" t="s">
        <v>60</v>
      </c>
      <c r="BA9" s="112"/>
      <c r="BB9" s="110">
        <v>10</v>
      </c>
      <c r="BC9" s="136">
        <v>0.8</v>
      </c>
      <c r="BD9" s="286"/>
      <c r="BE9" s="286"/>
      <c r="BF9" s="286"/>
      <c r="BH9" s="62"/>
      <c r="BI9" s="111" t="s">
        <v>60</v>
      </c>
      <c r="BJ9" s="112"/>
      <c r="BK9" s="110">
        <v>10</v>
      </c>
      <c r="BL9" s="136">
        <v>0.8</v>
      </c>
      <c r="BM9" s="286"/>
      <c r="BN9" s="286"/>
      <c r="BO9" s="286"/>
      <c r="BQ9" s="62"/>
      <c r="BR9" s="111" t="s">
        <v>60</v>
      </c>
      <c r="BS9" s="112"/>
      <c r="BT9" s="110">
        <v>10</v>
      </c>
      <c r="BU9" s="136">
        <v>0.8</v>
      </c>
      <c r="BV9" s="286"/>
      <c r="BW9" s="286"/>
      <c r="BX9" s="286"/>
    </row>
    <row r="10" spans="1:76" ht="15.75" x14ac:dyDescent="0.2">
      <c r="C10" s="62"/>
      <c r="D10" s="111" t="s">
        <v>5</v>
      </c>
      <c r="E10" s="112"/>
      <c r="F10" s="110">
        <v>20</v>
      </c>
      <c r="G10" s="136">
        <v>0.9</v>
      </c>
      <c r="H10" s="286"/>
      <c r="I10" s="286"/>
      <c r="J10" s="286"/>
      <c r="M10" s="62"/>
      <c r="N10" s="111" t="s">
        <v>5</v>
      </c>
      <c r="O10" s="112"/>
      <c r="P10" s="110">
        <v>20</v>
      </c>
      <c r="Q10" s="136">
        <v>0.9</v>
      </c>
      <c r="R10" s="286"/>
      <c r="S10" s="286"/>
      <c r="T10" s="286"/>
      <c r="V10" s="62"/>
      <c r="W10" s="111" t="s">
        <v>5</v>
      </c>
      <c r="X10" s="112"/>
      <c r="Y10" s="110">
        <v>20</v>
      </c>
      <c r="Z10" s="136">
        <v>0.9</v>
      </c>
      <c r="AA10" s="286"/>
      <c r="AB10" s="286"/>
      <c r="AC10" s="286"/>
      <c r="AE10" s="62"/>
      <c r="AF10" s="111" t="s">
        <v>5</v>
      </c>
      <c r="AG10" s="112"/>
      <c r="AH10" s="110">
        <v>20</v>
      </c>
      <c r="AI10" s="136">
        <v>0.9</v>
      </c>
      <c r="AJ10" s="286"/>
      <c r="AK10" s="286"/>
      <c r="AL10" s="286"/>
      <c r="AN10" s="121"/>
      <c r="AO10" s="62"/>
      <c r="AP10" s="111" t="s">
        <v>5</v>
      </c>
      <c r="AQ10" s="112"/>
      <c r="AR10" s="110">
        <v>20</v>
      </c>
      <c r="AS10" s="136">
        <v>0.9</v>
      </c>
      <c r="AT10" s="286"/>
      <c r="AU10" s="286"/>
      <c r="AV10" s="286"/>
      <c r="AW10" s="121"/>
      <c r="AX10" s="121"/>
      <c r="AY10" s="62"/>
      <c r="AZ10" s="111" t="s">
        <v>5</v>
      </c>
      <c r="BA10" s="112"/>
      <c r="BB10" s="110">
        <v>20</v>
      </c>
      <c r="BC10" s="136">
        <v>0.9</v>
      </c>
      <c r="BD10" s="286"/>
      <c r="BE10" s="286"/>
      <c r="BF10" s="286"/>
      <c r="BH10" s="62"/>
      <c r="BI10" s="111" t="s">
        <v>5</v>
      </c>
      <c r="BJ10" s="112"/>
      <c r="BK10" s="110">
        <v>20</v>
      </c>
      <c r="BL10" s="136">
        <v>0.9</v>
      </c>
      <c r="BM10" s="286"/>
      <c r="BN10" s="286"/>
      <c r="BO10" s="286"/>
      <c r="BQ10" s="62"/>
      <c r="BR10" s="111" t="s">
        <v>5</v>
      </c>
      <c r="BS10" s="112"/>
      <c r="BT10" s="110">
        <v>20</v>
      </c>
      <c r="BU10" s="136">
        <v>0.9</v>
      </c>
      <c r="BV10" s="286"/>
      <c r="BW10" s="286"/>
      <c r="BX10" s="286"/>
    </row>
    <row r="11" spans="1:76" ht="21" customHeight="1" x14ac:dyDescent="0.25">
      <c r="C11" s="62"/>
      <c r="D11" s="287" t="s">
        <v>0</v>
      </c>
      <c r="E11" s="288"/>
      <c r="F11" s="74">
        <f>SUM(F6:F10)</f>
        <v>100</v>
      </c>
      <c r="G11" s="75"/>
      <c r="H11" s="76" t="s">
        <v>11</v>
      </c>
      <c r="I11" s="76" t="s">
        <v>12</v>
      </c>
      <c r="J11" s="76" t="s">
        <v>26</v>
      </c>
      <c r="M11" s="62"/>
      <c r="N11" s="287" t="s">
        <v>0</v>
      </c>
      <c r="O11" s="288"/>
      <c r="P11" s="74">
        <f>SUM(P6:P10)</f>
        <v>100</v>
      </c>
      <c r="Q11" s="75"/>
      <c r="R11" s="76" t="s">
        <v>11</v>
      </c>
      <c r="S11" s="76" t="s">
        <v>12</v>
      </c>
      <c r="T11" s="76" t="s">
        <v>26</v>
      </c>
      <c r="V11" s="62"/>
      <c r="W11" s="287" t="s">
        <v>0</v>
      </c>
      <c r="X11" s="288"/>
      <c r="Y11" s="74">
        <f>SUM(Y6:Y10)</f>
        <v>100</v>
      </c>
      <c r="Z11" s="75"/>
      <c r="AA11" s="76" t="s">
        <v>11</v>
      </c>
      <c r="AB11" s="76" t="s">
        <v>12</v>
      </c>
      <c r="AC11" s="76" t="s">
        <v>26</v>
      </c>
      <c r="AE11" s="62"/>
      <c r="AF11" s="287" t="s">
        <v>0</v>
      </c>
      <c r="AG11" s="288"/>
      <c r="AH11" s="74">
        <f>SUM(AH6:AH10)</f>
        <v>100</v>
      </c>
      <c r="AI11" s="75"/>
      <c r="AJ11" s="76" t="s">
        <v>11</v>
      </c>
      <c r="AK11" s="76" t="s">
        <v>12</v>
      </c>
      <c r="AL11" s="76" t="s">
        <v>26</v>
      </c>
      <c r="AN11" s="121"/>
      <c r="AO11" s="62"/>
      <c r="AP11" s="287" t="s">
        <v>0</v>
      </c>
      <c r="AQ11" s="288"/>
      <c r="AR11" s="74">
        <f>SUM(AR6:AR10)</f>
        <v>100</v>
      </c>
      <c r="AS11" s="75"/>
      <c r="AT11" s="76" t="s">
        <v>11</v>
      </c>
      <c r="AU11" s="76" t="s">
        <v>12</v>
      </c>
      <c r="AV11" s="76" t="s">
        <v>26</v>
      </c>
      <c r="AW11" s="121"/>
      <c r="AX11" s="121"/>
      <c r="AY11" s="62"/>
      <c r="AZ11" s="287" t="s">
        <v>0</v>
      </c>
      <c r="BA11" s="288"/>
      <c r="BB11" s="74">
        <f>SUM(BB6:BB10)</f>
        <v>100</v>
      </c>
      <c r="BC11" s="75"/>
      <c r="BD11" s="76" t="s">
        <v>11</v>
      </c>
      <c r="BE11" s="76" t="s">
        <v>12</v>
      </c>
      <c r="BF11" s="76" t="s">
        <v>26</v>
      </c>
      <c r="BH11" s="62"/>
      <c r="BI11" s="287" t="s">
        <v>0</v>
      </c>
      <c r="BJ11" s="288"/>
      <c r="BK11" s="74">
        <f>SUM(BK6:BK10)</f>
        <v>100</v>
      </c>
      <c r="BL11" s="75"/>
      <c r="BM11" s="76" t="s">
        <v>11</v>
      </c>
      <c r="BN11" s="76" t="s">
        <v>12</v>
      </c>
      <c r="BO11" s="76" t="s">
        <v>26</v>
      </c>
      <c r="BQ11" s="62"/>
      <c r="BR11" s="287" t="s">
        <v>0</v>
      </c>
      <c r="BS11" s="288"/>
      <c r="BT11" s="74">
        <f>SUM(BT6:BT10)</f>
        <v>100</v>
      </c>
      <c r="BU11" s="75"/>
      <c r="BV11" s="76" t="s">
        <v>11</v>
      </c>
      <c r="BW11" s="76" t="s">
        <v>12</v>
      </c>
      <c r="BX11" s="76" t="s">
        <v>26</v>
      </c>
    </row>
    <row r="12" spans="1:76" x14ac:dyDescent="0.2">
      <c r="C12" s="62"/>
      <c r="I12" s="62"/>
      <c r="J12" s="62"/>
      <c r="M12" s="62"/>
      <c r="S12" s="62"/>
      <c r="T12" s="62"/>
      <c r="V12" s="62"/>
      <c r="AB12" s="62"/>
      <c r="AC12" s="62"/>
      <c r="AE12" s="62"/>
      <c r="AK12" s="62"/>
      <c r="AL12" s="62"/>
      <c r="AN12" s="121"/>
      <c r="AO12" s="62"/>
      <c r="AU12" s="62"/>
      <c r="AV12" s="62"/>
      <c r="AW12" s="121"/>
      <c r="AX12" s="121"/>
      <c r="AY12" s="62"/>
      <c r="BE12" s="62"/>
      <c r="BF12" s="62"/>
      <c r="BH12" s="62"/>
      <c r="BN12" s="62"/>
      <c r="BO12" s="62"/>
    </row>
    <row r="13" spans="1:76" ht="12" customHeight="1" x14ac:dyDescent="0.2">
      <c r="B13" s="77"/>
      <c r="K13" s="197"/>
      <c r="L13" s="133"/>
      <c r="AN13" s="199"/>
      <c r="AO13" s="133"/>
      <c r="AP13" s="133"/>
      <c r="AQ13" s="133"/>
      <c r="AR13" s="133"/>
      <c r="AS13" s="133"/>
      <c r="AT13" s="133"/>
      <c r="AU13" s="133"/>
      <c r="AV13" s="133"/>
      <c r="AW13" s="199"/>
      <c r="AX13" s="121"/>
    </row>
    <row r="14" spans="1:76" ht="21.75" customHeight="1" x14ac:dyDescent="0.2">
      <c r="A14" s="133"/>
      <c r="B14" s="133"/>
      <c r="C14" s="78" t="s">
        <v>16</v>
      </c>
      <c r="D14" s="79"/>
      <c r="E14" s="79"/>
      <c r="F14" s="79"/>
      <c r="G14" s="66" t="s">
        <v>27</v>
      </c>
      <c r="H14" s="66" t="s">
        <v>21</v>
      </c>
      <c r="I14" s="80" t="s">
        <v>24</v>
      </c>
      <c r="J14" s="80" t="s">
        <v>28</v>
      </c>
      <c r="K14" s="133"/>
      <c r="L14" s="133"/>
      <c r="M14" s="78" t="s">
        <v>16</v>
      </c>
      <c r="N14" s="79"/>
      <c r="O14" s="79"/>
      <c r="P14" s="79"/>
      <c r="Q14" s="135" t="s">
        <v>27</v>
      </c>
      <c r="R14" s="135" t="s">
        <v>21</v>
      </c>
      <c r="S14" s="80" t="s">
        <v>24</v>
      </c>
      <c r="T14" s="80" t="s">
        <v>28</v>
      </c>
      <c r="U14" s="133"/>
      <c r="V14" s="78" t="s">
        <v>16</v>
      </c>
      <c r="W14" s="79"/>
      <c r="X14" s="79"/>
      <c r="Y14" s="79"/>
      <c r="Z14" s="135" t="s">
        <v>27</v>
      </c>
      <c r="AA14" s="135" t="s">
        <v>21</v>
      </c>
      <c r="AB14" s="80" t="s">
        <v>24</v>
      </c>
      <c r="AC14" s="80" t="s">
        <v>28</v>
      </c>
      <c r="AD14" s="133"/>
      <c r="AE14" s="78" t="s">
        <v>16</v>
      </c>
      <c r="AF14" s="79"/>
      <c r="AG14" s="79"/>
      <c r="AH14" s="79"/>
      <c r="AI14" s="135" t="s">
        <v>27</v>
      </c>
      <c r="AJ14" s="135" t="s">
        <v>21</v>
      </c>
      <c r="AK14" s="80" t="s">
        <v>24</v>
      </c>
      <c r="AL14" s="80" t="s">
        <v>28</v>
      </c>
      <c r="AM14" s="133"/>
      <c r="AN14" s="134"/>
      <c r="AO14" s="78" t="s">
        <v>16</v>
      </c>
      <c r="AP14" s="79"/>
      <c r="AQ14" s="79"/>
      <c r="AR14" s="79"/>
      <c r="AS14" s="135" t="s">
        <v>27</v>
      </c>
      <c r="AT14" s="135" t="s">
        <v>21</v>
      </c>
      <c r="AU14" s="80" t="s">
        <v>24</v>
      </c>
      <c r="AV14" s="80" t="s">
        <v>28</v>
      </c>
      <c r="AW14" s="134"/>
      <c r="AX14" s="134"/>
      <c r="AY14" s="78" t="s">
        <v>16</v>
      </c>
      <c r="AZ14" s="79"/>
      <c r="BA14" s="79"/>
      <c r="BB14" s="79"/>
      <c r="BC14" s="135" t="s">
        <v>27</v>
      </c>
      <c r="BD14" s="135" t="s">
        <v>21</v>
      </c>
      <c r="BE14" s="80" t="s">
        <v>24</v>
      </c>
      <c r="BF14" s="80" t="s">
        <v>28</v>
      </c>
      <c r="BG14" s="133"/>
      <c r="BH14" s="78" t="s">
        <v>16</v>
      </c>
      <c r="BI14" s="79"/>
      <c r="BJ14" s="79"/>
      <c r="BK14" s="79"/>
      <c r="BL14" s="135" t="s">
        <v>27</v>
      </c>
      <c r="BM14" s="135" t="s">
        <v>21</v>
      </c>
      <c r="BN14" s="80" t="s">
        <v>24</v>
      </c>
      <c r="BO14" s="80" t="s">
        <v>28</v>
      </c>
      <c r="BP14" s="133"/>
      <c r="BQ14" s="78" t="s">
        <v>16</v>
      </c>
      <c r="BR14" s="79"/>
      <c r="BS14" s="79"/>
      <c r="BT14" s="79"/>
      <c r="BU14" s="207" t="s">
        <v>27</v>
      </c>
      <c r="BV14" s="207" t="s">
        <v>21</v>
      </c>
      <c r="BW14" s="80" t="s">
        <v>24</v>
      </c>
      <c r="BX14" s="80" t="s">
        <v>28</v>
      </c>
    </row>
    <row r="15" spans="1:76" ht="21.75" customHeight="1" x14ac:dyDescent="0.2">
      <c r="A15" s="133"/>
      <c r="B15" s="133"/>
      <c r="C15" s="81">
        <v>1</v>
      </c>
      <c r="D15" s="82" t="s">
        <v>55</v>
      </c>
      <c r="E15" s="83"/>
      <c r="F15" s="84"/>
      <c r="G15" s="81">
        <v>2350</v>
      </c>
      <c r="H15" s="81">
        <v>2474</v>
      </c>
      <c r="I15" s="126">
        <f>MIN(H15/G15,1)</f>
        <v>1</v>
      </c>
      <c r="J15" s="85">
        <f>I15*0.2</f>
        <v>0.2</v>
      </c>
      <c r="K15" s="133"/>
      <c r="L15" s="133"/>
      <c r="M15" s="81">
        <v>2</v>
      </c>
      <c r="N15" s="82" t="s">
        <v>52</v>
      </c>
      <c r="O15" s="83"/>
      <c r="P15" s="84"/>
      <c r="Q15" s="215">
        <v>2350</v>
      </c>
      <c r="R15" s="209">
        <v>2239</v>
      </c>
      <c r="S15" s="126">
        <f>MIN(R15/Q15,1)</f>
        <v>0.95276595744680848</v>
      </c>
      <c r="T15" s="85">
        <f>S15*0.2</f>
        <v>0.1905531914893617</v>
      </c>
      <c r="U15" s="133"/>
      <c r="V15" s="81">
        <v>3</v>
      </c>
      <c r="W15" s="82" t="s">
        <v>64</v>
      </c>
      <c r="X15" s="83"/>
      <c r="Y15" s="84"/>
      <c r="Z15" s="215">
        <v>2350</v>
      </c>
      <c r="AA15" s="209">
        <v>2404</v>
      </c>
      <c r="AB15" s="126">
        <f>MIN(AA15/Z15,1)</f>
        <v>1</v>
      </c>
      <c r="AC15" s="85">
        <f>AB15*0.2</f>
        <v>0.2</v>
      </c>
      <c r="AD15" s="133"/>
      <c r="AE15" s="81">
        <v>4</v>
      </c>
      <c r="AF15" s="82" t="s">
        <v>53</v>
      </c>
      <c r="AG15" s="83"/>
      <c r="AH15" s="84"/>
      <c r="AI15" s="215">
        <v>1375</v>
      </c>
      <c r="AJ15" s="81">
        <v>1375</v>
      </c>
      <c r="AK15" s="126">
        <f>MIN(AJ15/AI15,1)</f>
        <v>1</v>
      </c>
      <c r="AL15" s="85">
        <f>AK15*0.2</f>
        <v>0.2</v>
      </c>
      <c r="AM15" s="133"/>
      <c r="AN15" s="134"/>
      <c r="AO15" s="81">
        <v>5</v>
      </c>
      <c r="AP15" s="82" t="s">
        <v>56</v>
      </c>
      <c r="AQ15" s="83"/>
      <c r="AR15" s="84"/>
      <c r="AS15" s="215">
        <v>2350</v>
      </c>
      <c r="AT15" s="209">
        <v>2402</v>
      </c>
      <c r="AU15" s="126">
        <f>MIN(AT15/AS15,1)</f>
        <v>1</v>
      </c>
      <c r="AV15" s="85">
        <f>AU15*0.2</f>
        <v>0.2</v>
      </c>
      <c r="AW15" s="134"/>
      <c r="AX15" s="134"/>
      <c r="AY15" s="81">
        <v>6</v>
      </c>
      <c r="AZ15" s="82" t="s">
        <v>57</v>
      </c>
      <c r="BA15" s="83"/>
      <c r="BB15" s="84"/>
      <c r="BC15" s="215">
        <v>2350</v>
      </c>
      <c r="BD15" s="81">
        <v>2492</v>
      </c>
      <c r="BE15" s="126">
        <f>MIN(BD15/BC15,1)</f>
        <v>1</v>
      </c>
      <c r="BF15" s="85">
        <f>BE15*0.2</f>
        <v>0.2</v>
      </c>
      <c r="BG15" s="133"/>
      <c r="BH15" s="81">
        <v>7</v>
      </c>
      <c r="BI15" s="82" t="s">
        <v>116</v>
      </c>
      <c r="BJ15" s="83"/>
      <c r="BK15" s="84"/>
      <c r="BL15" s="215">
        <v>2350</v>
      </c>
      <c r="BM15" s="81">
        <v>2416</v>
      </c>
      <c r="BN15" s="126">
        <f>MIN(BM15/BL15,1)</f>
        <v>1</v>
      </c>
      <c r="BO15" s="85">
        <f>BN15*0.2</f>
        <v>0.2</v>
      </c>
      <c r="BP15" s="133"/>
      <c r="BQ15" s="209">
        <v>7</v>
      </c>
      <c r="BR15" s="82" t="s">
        <v>117</v>
      </c>
      <c r="BS15" s="83"/>
      <c r="BT15" s="84"/>
      <c r="BU15" s="209">
        <v>2350</v>
      </c>
      <c r="BV15" s="209">
        <v>2405</v>
      </c>
      <c r="BW15" s="126">
        <f>MIN(BV15/BU15,1)</f>
        <v>1</v>
      </c>
      <c r="BX15" s="85">
        <f>BW15*0.2</f>
        <v>0.2</v>
      </c>
    </row>
    <row r="16" spans="1:76" ht="21.75" customHeight="1" x14ac:dyDescent="0.2">
      <c r="A16" s="133"/>
      <c r="B16" s="133"/>
      <c r="C16" s="106" t="s">
        <v>17</v>
      </c>
      <c r="D16" s="107"/>
      <c r="E16" s="107"/>
      <c r="F16" s="107"/>
      <c r="G16" s="107"/>
      <c r="H16" s="107"/>
      <c r="I16" s="107"/>
      <c r="J16" s="108"/>
      <c r="K16" s="133"/>
      <c r="L16" s="133"/>
      <c r="M16" s="106" t="s">
        <v>17</v>
      </c>
      <c r="N16" s="131"/>
      <c r="O16" s="131"/>
      <c r="P16" s="131"/>
      <c r="Q16" s="131"/>
      <c r="R16" s="131"/>
      <c r="S16" s="131"/>
      <c r="T16" s="132"/>
      <c r="U16" s="133"/>
      <c r="V16" s="106" t="s">
        <v>17</v>
      </c>
      <c r="W16" s="131"/>
      <c r="X16" s="131"/>
      <c r="Y16" s="131"/>
      <c r="Z16" s="131"/>
      <c r="AA16" s="131"/>
      <c r="AB16" s="131"/>
      <c r="AC16" s="132"/>
      <c r="AD16" s="133"/>
      <c r="AE16" s="106" t="s">
        <v>17</v>
      </c>
      <c r="AF16" s="131"/>
      <c r="AG16" s="131"/>
      <c r="AH16" s="131"/>
      <c r="AI16" s="131"/>
      <c r="AJ16" s="131"/>
      <c r="AK16" s="131"/>
      <c r="AL16" s="132"/>
      <c r="AM16" s="133"/>
      <c r="AN16" s="134"/>
      <c r="AO16" s="106" t="s">
        <v>17</v>
      </c>
      <c r="AP16" s="131"/>
      <c r="AQ16" s="131"/>
      <c r="AR16" s="131"/>
      <c r="AS16" s="131"/>
      <c r="AT16" s="131"/>
      <c r="AU16" s="131"/>
      <c r="AV16" s="132"/>
      <c r="AW16" s="134"/>
      <c r="AX16" s="134"/>
      <c r="AY16" s="106" t="s">
        <v>17</v>
      </c>
      <c r="AZ16" s="131"/>
      <c r="BA16" s="131"/>
      <c r="BB16" s="131"/>
      <c r="BC16" s="131"/>
      <c r="BD16" s="131"/>
      <c r="BE16" s="131"/>
      <c r="BF16" s="132"/>
      <c r="BG16" s="133"/>
      <c r="BH16" s="106" t="s">
        <v>17</v>
      </c>
      <c r="BI16" s="131"/>
      <c r="BJ16" s="131"/>
      <c r="BK16" s="131"/>
      <c r="BL16" s="131"/>
      <c r="BM16" s="131"/>
      <c r="BN16" s="131"/>
      <c r="BO16" s="132"/>
      <c r="BP16" s="133"/>
      <c r="BQ16" s="210" t="s">
        <v>17</v>
      </c>
      <c r="BR16" s="211"/>
      <c r="BS16" s="211"/>
      <c r="BT16" s="211"/>
      <c r="BU16" s="211"/>
      <c r="BV16" s="211"/>
      <c r="BW16" s="211"/>
      <c r="BX16" s="212"/>
    </row>
    <row r="17" spans="1:76" s="133" customFormat="1" ht="21.75" customHeight="1" x14ac:dyDescent="0.2">
      <c r="C17" s="140">
        <v>1</v>
      </c>
      <c r="D17" s="141" t="s">
        <v>55</v>
      </c>
      <c r="E17" s="142"/>
      <c r="F17" s="143"/>
      <c r="G17" s="231">
        <v>170400</v>
      </c>
      <c r="H17" s="231">
        <v>195048.67</v>
      </c>
      <c r="I17" s="126">
        <f>MIN(H17/G17,1)</f>
        <v>1</v>
      </c>
      <c r="J17" s="126">
        <f>I17*0.3</f>
        <v>0.3</v>
      </c>
      <c r="M17" s="140">
        <v>2</v>
      </c>
      <c r="N17" s="141" t="s">
        <v>52</v>
      </c>
      <c r="O17" s="142"/>
      <c r="P17" s="143"/>
      <c r="Q17" s="231">
        <v>170400</v>
      </c>
      <c r="R17" s="231">
        <v>231251.1</v>
      </c>
      <c r="S17" s="126">
        <f>MIN(R17/Q17,1)</f>
        <v>1</v>
      </c>
      <c r="T17" s="126">
        <f>S17*0.3</f>
        <v>0.3</v>
      </c>
      <c r="V17" s="140">
        <v>3</v>
      </c>
      <c r="W17" s="141" t="s">
        <v>64</v>
      </c>
      <c r="X17" s="142"/>
      <c r="Y17" s="143"/>
      <c r="Z17" s="231">
        <v>170400</v>
      </c>
      <c r="AA17" s="231">
        <v>236393.93</v>
      </c>
      <c r="AB17" s="126">
        <f>MIN(AA17/Z17,1)</f>
        <v>1</v>
      </c>
      <c r="AC17" s="126">
        <f>AB17*0.3</f>
        <v>0.3</v>
      </c>
      <c r="AE17" s="140">
        <v>4</v>
      </c>
      <c r="AF17" s="141" t="s">
        <v>53</v>
      </c>
      <c r="AG17" s="142"/>
      <c r="AH17" s="143"/>
      <c r="AI17" s="231">
        <v>170400</v>
      </c>
      <c r="AJ17" s="231">
        <v>265245.53999999998</v>
      </c>
      <c r="AK17" s="126">
        <f>MIN(AJ17/AI17,1)</f>
        <v>1</v>
      </c>
      <c r="AL17" s="126">
        <f>AK17*0.3</f>
        <v>0.3</v>
      </c>
      <c r="AN17" s="134"/>
      <c r="AO17" s="140">
        <v>5</v>
      </c>
      <c r="AP17" s="141" t="s">
        <v>56</v>
      </c>
      <c r="AQ17" s="142"/>
      <c r="AR17" s="143"/>
      <c r="AS17" s="231">
        <v>170400</v>
      </c>
      <c r="AT17" s="231">
        <v>202458.85</v>
      </c>
      <c r="AU17" s="126">
        <f>MIN(AT17/AS17,1)</f>
        <v>1</v>
      </c>
      <c r="AV17" s="126">
        <f>AU17*0.3</f>
        <v>0.3</v>
      </c>
      <c r="AW17" s="134"/>
      <c r="AX17" s="134"/>
      <c r="AY17" s="140">
        <v>6</v>
      </c>
      <c r="AZ17" s="141" t="s">
        <v>57</v>
      </c>
      <c r="BA17" s="142"/>
      <c r="BB17" s="143"/>
      <c r="BC17" s="231">
        <v>170400</v>
      </c>
      <c r="BD17" s="231">
        <v>183702.8</v>
      </c>
      <c r="BE17" s="126">
        <f>MIN(BD17/BC17,1)</f>
        <v>1</v>
      </c>
      <c r="BF17" s="126">
        <f>BE17*0.3</f>
        <v>0.3</v>
      </c>
      <c r="BH17" s="140">
        <v>7</v>
      </c>
      <c r="BI17" s="141" t="s">
        <v>116</v>
      </c>
      <c r="BJ17" s="142"/>
      <c r="BK17" s="143"/>
      <c r="BL17" s="231">
        <v>170400</v>
      </c>
      <c r="BM17" s="231">
        <v>237951.05000000002</v>
      </c>
      <c r="BN17" s="126">
        <f>MIN(BM17/BL17,1)</f>
        <v>1</v>
      </c>
      <c r="BO17" s="126">
        <f>BN17*0.3</f>
        <v>0.3</v>
      </c>
      <c r="BQ17" s="140">
        <v>7</v>
      </c>
      <c r="BR17" s="141" t="s">
        <v>117</v>
      </c>
      <c r="BS17" s="142"/>
      <c r="BT17" s="143"/>
      <c r="BU17" s="231">
        <v>170400</v>
      </c>
      <c r="BV17" s="231">
        <v>243309.74</v>
      </c>
      <c r="BW17" s="126">
        <f>MIN(BV17/BU17,1)</f>
        <v>1</v>
      </c>
      <c r="BX17" s="126">
        <f>BW17*0.3</f>
        <v>0.3</v>
      </c>
    </row>
    <row r="18" spans="1:76" ht="21.75" customHeight="1" x14ac:dyDescent="0.2">
      <c r="A18" s="133"/>
      <c r="B18" s="133"/>
      <c r="C18" s="99" t="s">
        <v>18</v>
      </c>
      <c r="D18" s="99"/>
      <c r="E18" s="99"/>
      <c r="F18" s="99"/>
      <c r="G18" s="99"/>
      <c r="H18" s="99"/>
      <c r="I18" s="99"/>
      <c r="J18" s="99"/>
      <c r="K18" s="133"/>
      <c r="L18" s="133"/>
      <c r="M18" s="99" t="s">
        <v>18</v>
      </c>
      <c r="N18" s="99"/>
      <c r="O18" s="99"/>
      <c r="P18" s="99"/>
      <c r="Q18" s="99"/>
      <c r="R18" s="99"/>
      <c r="S18" s="99"/>
      <c r="T18" s="99"/>
      <c r="U18" s="133"/>
      <c r="V18" s="99" t="s">
        <v>18</v>
      </c>
      <c r="W18" s="99"/>
      <c r="X18" s="99"/>
      <c r="Y18" s="99"/>
      <c r="Z18" s="99"/>
      <c r="AA18" s="99"/>
      <c r="AB18" s="99"/>
      <c r="AC18" s="99"/>
      <c r="AD18" s="133"/>
      <c r="AE18" s="99" t="s">
        <v>18</v>
      </c>
      <c r="AF18" s="99"/>
      <c r="AG18" s="99"/>
      <c r="AH18" s="99"/>
      <c r="AI18" s="99"/>
      <c r="AJ18" s="99"/>
      <c r="AK18" s="99"/>
      <c r="AL18" s="99"/>
      <c r="AM18" s="133"/>
      <c r="AN18" s="134"/>
      <c r="AO18" s="99" t="s">
        <v>18</v>
      </c>
      <c r="AP18" s="99"/>
      <c r="AQ18" s="99"/>
      <c r="AR18" s="99"/>
      <c r="AS18" s="99"/>
      <c r="AT18" s="99"/>
      <c r="AU18" s="99"/>
      <c r="AV18" s="99"/>
      <c r="AW18" s="134"/>
      <c r="AX18" s="134"/>
      <c r="AY18" s="99" t="s">
        <v>18</v>
      </c>
      <c r="AZ18" s="99"/>
      <c r="BA18" s="99"/>
      <c r="BB18" s="99"/>
      <c r="BC18" s="99"/>
      <c r="BD18" s="99"/>
      <c r="BE18" s="99"/>
      <c r="BF18" s="99"/>
      <c r="BG18" s="133"/>
      <c r="BH18" s="99" t="s">
        <v>18</v>
      </c>
      <c r="BI18" s="99"/>
      <c r="BJ18" s="99"/>
      <c r="BK18" s="99"/>
      <c r="BL18" s="99"/>
      <c r="BM18" s="99"/>
      <c r="BN18" s="99"/>
      <c r="BO18" s="99"/>
      <c r="BP18" s="133"/>
      <c r="BQ18" s="99" t="s">
        <v>18</v>
      </c>
      <c r="BR18" s="99"/>
      <c r="BS18" s="99"/>
      <c r="BT18" s="99"/>
      <c r="BU18" s="99"/>
      <c r="BV18" s="99"/>
      <c r="BW18" s="99"/>
      <c r="BX18" s="99"/>
    </row>
    <row r="19" spans="1:76" ht="21.75" customHeight="1" x14ac:dyDescent="0.2">
      <c r="A19" s="133"/>
      <c r="B19" s="133"/>
      <c r="C19" s="81">
        <v>1</v>
      </c>
      <c r="D19" s="82" t="s">
        <v>55</v>
      </c>
      <c r="E19" s="83"/>
      <c r="F19" s="84"/>
      <c r="G19" s="81">
        <v>550</v>
      </c>
      <c r="H19" s="81">
        <v>591</v>
      </c>
      <c r="I19" s="126">
        <f>MIN(H19/G19,1)</f>
        <v>1</v>
      </c>
      <c r="J19" s="85">
        <f>I19*0.2</f>
        <v>0.2</v>
      </c>
      <c r="K19" s="133"/>
      <c r="L19" s="133"/>
      <c r="M19" s="81">
        <v>2</v>
      </c>
      <c r="N19" s="82" t="s">
        <v>52</v>
      </c>
      <c r="O19" s="83"/>
      <c r="P19" s="84"/>
      <c r="Q19" s="81">
        <v>550</v>
      </c>
      <c r="R19" s="209">
        <v>538</v>
      </c>
      <c r="S19" s="126">
        <f>MIN(R19/Q19,1)</f>
        <v>0.97818181818181815</v>
      </c>
      <c r="T19" s="85">
        <f>S19*0.2</f>
        <v>0.19563636363636364</v>
      </c>
      <c r="U19" s="133"/>
      <c r="V19" s="81">
        <v>3</v>
      </c>
      <c r="W19" s="82" t="s">
        <v>64</v>
      </c>
      <c r="X19" s="83"/>
      <c r="Y19" s="84"/>
      <c r="Z19" s="81">
        <v>550</v>
      </c>
      <c r="AA19" s="209">
        <v>553</v>
      </c>
      <c r="AB19" s="126">
        <f>MIN(AA19/Z19,1)</f>
        <v>1</v>
      </c>
      <c r="AC19" s="85">
        <f>AB19*0.2</f>
        <v>0.2</v>
      </c>
      <c r="AD19" s="133"/>
      <c r="AE19" s="81">
        <v>4</v>
      </c>
      <c r="AF19" s="82" t="s">
        <v>53</v>
      </c>
      <c r="AG19" s="83"/>
      <c r="AH19" s="84"/>
      <c r="AI19" s="81">
        <v>550</v>
      </c>
      <c r="AJ19" s="81">
        <v>478</v>
      </c>
      <c r="AK19" s="126">
        <f>MIN(AJ19/AI19,1)</f>
        <v>0.86909090909090914</v>
      </c>
      <c r="AL19" s="85">
        <f>AK19*0.2</f>
        <v>0.17381818181818184</v>
      </c>
      <c r="AM19" s="133"/>
      <c r="AN19" s="134"/>
      <c r="AO19" s="81">
        <v>5</v>
      </c>
      <c r="AP19" s="82" t="s">
        <v>56</v>
      </c>
      <c r="AQ19" s="83"/>
      <c r="AR19" s="84"/>
      <c r="AS19" s="81">
        <v>550</v>
      </c>
      <c r="AT19" s="209">
        <v>561</v>
      </c>
      <c r="AU19" s="126">
        <f>MIN(AT19/AS19,1)</f>
        <v>1</v>
      </c>
      <c r="AV19" s="85">
        <f>AU19*0.2</f>
        <v>0.2</v>
      </c>
      <c r="AW19" s="134"/>
      <c r="AX19" s="134"/>
      <c r="AY19" s="81">
        <v>6</v>
      </c>
      <c r="AZ19" s="82" t="s">
        <v>57</v>
      </c>
      <c r="BA19" s="83"/>
      <c r="BB19" s="84"/>
      <c r="BC19" s="81">
        <v>550</v>
      </c>
      <c r="BD19" s="81">
        <v>553</v>
      </c>
      <c r="BE19" s="126">
        <f>MIN(BD19/BC19,1)</f>
        <v>1</v>
      </c>
      <c r="BF19" s="85">
        <f>BE19*0.2</f>
        <v>0.2</v>
      </c>
      <c r="BG19" s="133"/>
      <c r="BH19" s="81">
        <v>7</v>
      </c>
      <c r="BI19" s="82" t="s">
        <v>116</v>
      </c>
      <c r="BJ19" s="83"/>
      <c r="BK19" s="84"/>
      <c r="BL19" s="81">
        <v>550</v>
      </c>
      <c r="BM19" s="81">
        <v>555</v>
      </c>
      <c r="BN19" s="126">
        <f>MIN(BM19/BL19,1)</f>
        <v>1</v>
      </c>
      <c r="BO19" s="85">
        <f>BN19*0.2</f>
        <v>0.2</v>
      </c>
      <c r="BP19" s="133"/>
      <c r="BQ19" s="209">
        <v>7</v>
      </c>
      <c r="BR19" s="82" t="s">
        <v>117</v>
      </c>
      <c r="BS19" s="83"/>
      <c r="BT19" s="84"/>
      <c r="BU19" s="209">
        <v>550</v>
      </c>
      <c r="BV19" s="209">
        <v>615</v>
      </c>
      <c r="BW19" s="126">
        <f>MIN(BV19/BU19,1)</f>
        <v>1</v>
      </c>
      <c r="BX19" s="85">
        <f>BW19*0.2</f>
        <v>0.2</v>
      </c>
    </row>
    <row r="20" spans="1:76" ht="21.75" customHeight="1" x14ac:dyDescent="0.2">
      <c r="A20" s="133"/>
      <c r="B20" s="133"/>
      <c r="C20" s="86" t="s">
        <v>61</v>
      </c>
      <c r="D20" s="86"/>
      <c r="E20" s="86"/>
      <c r="F20" s="86"/>
      <c r="G20" s="86"/>
      <c r="H20" s="86"/>
      <c r="I20" s="86"/>
      <c r="J20" s="87"/>
      <c r="K20" s="133"/>
      <c r="L20" s="133"/>
      <c r="M20" s="86" t="s">
        <v>61</v>
      </c>
      <c r="N20" s="86"/>
      <c r="O20" s="86"/>
      <c r="P20" s="86"/>
      <c r="Q20" s="86"/>
      <c r="R20" s="86"/>
      <c r="S20" s="86"/>
      <c r="T20" s="87"/>
      <c r="U20" s="133"/>
      <c r="V20" s="86" t="s">
        <v>61</v>
      </c>
      <c r="W20" s="86"/>
      <c r="X20" s="86"/>
      <c r="Y20" s="86"/>
      <c r="Z20" s="86"/>
      <c r="AA20" s="86"/>
      <c r="AB20" s="86"/>
      <c r="AC20" s="87"/>
      <c r="AD20" s="133"/>
      <c r="AE20" s="86" t="s">
        <v>61</v>
      </c>
      <c r="AF20" s="86"/>
      <c r="AG20" s="86"/>
      <c r="AH20" s="86"/>
      <c r="AI20" s="86"/>
      <c r="AJ20" s="86"/>
      <c r="AK20" s="86"/>
      <c r="AL20" s="87"/>
      <c r="AM20" s="133"/>
      <c r="AN20" s="134"/>
      <c r="AO20" s="86" t="s">
        <v>61</v>
      </c>
      <c r="AP20" s="86"/>
      <c r="AQ20" s="86"/>
      <c r="AR20" s="86"/>
      <c r="AS20" s="86"/>
      <c r="AT20" s="86"/>
      <c r="AU20" s="86"/>
      <c r="AV20" s="87"/>
      <c r="AW20" s="134"/>
      <c r="AX20" s="134"/>
      <c r="AY20" s="86" t="s">
        <v>61</v>
      </c>
      <c r="AZ20" s="86"/>
      <c r="BA20" s="86"/>
      <c r="BB20" s="86"/>
      <c r="BC20" s="86"/>
      <c r="BD20" s="86"/>
      <c r="BE20" s="86"/>
      <c r="BF20" s="87"/>
      <c r="BG20" s="133"/>
      <c r="BH20" s="86" t="s">
        <v>61</v>
      </c>
      <c r="BI20" s="86"/>
      <c r="BJ20" s="86"/>
      <c r="BK20" s="86"/>
      <c r="BL20" s="86"/>
      <c r="BM20" s="86"/>
      <c r="BN20" s="86"/>
      <c r="BO20" s="87"/>
      <c r="BP20" s="133"/>
      <c r="BQ20" s="86" t="s">
        <v>61</v>
      </c>
      <c r="BR20" s="86"/>
      <c r="BS20" s="86"/>
      <c r="BT20" s="86"/>
      <c r="BU20" s="86"/>
      <c r="BV20" s="86"/>
      <c r="BW20" s="86"/>
      <c r="BX20" s="87"/>
    </row>
    <row r="21" spans="1:76" s="133" customFormat="1" ht="21.75" customHeight="1" x14ac:dyDescent="0.2">
      <c r="C21" s="140">
        <v>1</v>
      </c>
      <c r="D21" s="141" t="s">
        <v>55</v>
      </c>
      <c r="E21" s="230"/>
      <c r="F21" s="230"/>
      <c r="G21" s="220">
        <v>0.8</v>
      </c>
      <c r="H21" s="126">
        <v>1</v>
      </c>
      <c r="I21" s="126">
        <f>MIN(H21/G21,1)</f>
        <v>1</v>
      </c>
      <c r="J21" s="219">
        <f>I21*0.1</f>
        <v>0.1</v>
      </c>
      <c r="M21" s="140">
        <v>2</v>
      </c>
      <c r="N21" s="141" t="s">
        <v>52</v>
      </c>
      <c r="O21" s="142"/>
      <c r="P21" s="142"/>
      <c r="Q21" s="220">
        <v>0.8</v>
      </c>
      <c r="R21" s="126">
        <v>1</v>
      </c>
      <c r="S21" s="126">
        <f>MIN(R21/Q21,1)</f>
        <v>1</v>
      </c>
      <c r="T21" s="219">
        <f>S21*0.1</f>
        <v>0.1</v>
      </c>
      <c r="V21" s="140">
        <v>3</v>
      </c>
      <c r="W21" s="141" t="s">
        <v>64</v>
      </c>
      <c r="X21" s="142"/>
      <c r="Y21" s="142"/>
      <c r="Z21" s="220">
        <v>0.8</v>
      </c>
      <c r="AA21" s="126">
        <v>1</v>
      </c>
      <c r="AB21" s="126">
        <f>MIN(AA21/Z21,1)</f>
        <v>1</v>
      </c>
      <c r="AC21" s="219">
        <f>AB21*0.1</f>
        <v>0.1</v>
      </c>
      <c r="AE21" s="140">
        <v>4</v>
      </c>
      <c r="AF21" s="141" t="s">
        <v>53</v>
      </c>
      <c r="AG21" s="142"/>
      <c r="AH21" s="142"/>
      <c r="AI21" s="220">
        <v>0.8</v>
      </c>
      <c r="AJ21" s="126">
        <v>1</v>
      </c>
      <c r="AK21" s="126">
        <f>MIN(AJ21/AI21,1)</f>
        <v>1</v>
      </c>
      <c r="AL21" s="219">
        <f>AK21*0.1</f>
        <v>0.1</v>
      </c>
      <c r="AN21" s="134"/>
      <c r="AO21" s="140">
        <v>5</v>
      </c>
      <c r="AP21" s="141" t="s">
        <v>56</v>
      </c>
      <c r="AQ21" s="142"/>
      <c r="AR21" s="142"/>
      <c r="AS21" s="220">
        <v>0.8</v>
      </c>
      <c r="AT21" s="126">
        <v>1</v>
      </c>
      <c r="AU21" s="126">
        <f>MIN(AT21/AS21,1)</f>
        <v>1</v>
      </c>
      <c r="AV21" s="219">
        <f>AU21*0.1</f>
        <v>0.1</v>
      </c>
      <c r="AW21" s="134"/>
      <c r="AX21" s="134"/>
      <c r="AY21" s="140">
        <v>6</v>
      </c>
      <c r="AZ21" s="141" t="s">
        <v>57</v>
      </c>
      <c r="BA21" s="142"/>
      <c r="BB21" s="142"/>
      <c r="BC21" s="220">
        <v>0.8</v>
      </c>
      <c r="BD21" s="126">
        <v>1</v>
      </c>
      <c r="BE21" s="126">
        <f>MIN(BD21/BC21,1)</f>
        <v>1</v>
      </c>
      <c r="BF21" s="219">
        <f>BE21*0.1</f>
        <v>0.1</v>
      </c>
      <c r="BH21" s="140">
        <v>7</v>
      </c>
      <c r="BI21" s="141" t="s">
        <v>116</v>
      </c>
      <c r="BJ21" s="142"/>
      <c r="BK21" s="142"/>
      <c r="BL21" s="220">
        <v>0.8</v>
      </c>
      <c r="BM21" s="126">
        <v>1</v>
      </c>
      <c r="BN21" s="126">
        <f>MIN(BM21/BL21,1)</f>
        <v>1</v>
      </c>
      <c r="BO21" s="219">
        <f>BN21*0.1</f>
        <v>0.1</v>
      </c>
      <c r="BQ21" s="140">
        <v>7</v>
      </c>
      <c r="BR21" s="141" t="s">
        <v>117</v>
      </c>
      <c r="BS21" s="142"/>
      <c r="BT21" s="142"/>
      <c r="BU21" s="220">
        <v>0.8</v>
      </c>
      <c r="BV21" s="126">
        <v>1</v>
      </c>
      <c r="BW21" s="126">
        <f>MIN(BV21/BU21,1)</f>
        <v>1</v>
      </c>
      <c r="BX21" s="219">
        <f>BW21*0.1</f>
        <v>0.1</v>
      </c>
    </row>
    <row r="22" spans="1:76" s="133" customFormat="1" ht="21.75" customHeight="1" x14ac:dyDescent="0.2">
      <c r="C22" s="86" t="s">
        <v>119</v>
      </c>
      <c r="D22" s="86"/>
      <c r="E22" s="86"/>
      <c r="F22" s="86"/>
      <c r="G22" s="86"/>
      <c r="H22" s="87"/>
      <c r="I22" s="86"/>
      <c r="J22" s="87"/>
      <c r="M22" s="86" t="s">
        <v>119</v>
      </c>
      <c r="N22" s="86"/>
      <c r="O22" s="86"/>
      <c r="P22" s="86"/>
      <c r="Q22" s="86"/>
      <c r="R22" s="87"/>
      <c r="S22" s="86"/>
      <c r="T22" s="87"/>
      <c r="V22" s="86" t="s">
        <v>119</v>
      </c>
      <c r="W22" s="86"/>
      <c r="X22" s="86"/>
      <c r="Y22" s="86"/>
      <c r="Z22" s="86"/>
      <c r="AA22" s="87"/>
      <c r="AB22" s="86"/>
      <c r="AC22" s="87"/>
      <c r="AE22" s="86" t="s">
        <v>119</v>
      </c>
      <c r="AF22" s="86"/>
      <c r="AG22" s="86"/>
      <c r="AH22" s="86"/>
      <c r="AI22" s="86"/>
      <c r="AJ22" s="87"/>
      <c r="AK22" s="86"/>
      <c r="AL22" s="87"/>
      <c r="AN22" s="134"/>
      <c r="AO22" s="86" t="s">
        <v>119</v>
      </c>
      <c r="AP22" s="86"/>
      <c r="AQ22" s="86"/>
      <c r="AR22" s="86"/>
      <c r="AS22" s="86"/>
      <c r="AT22" s="87"/>
      <c r="AU22" s="86"/>
      <c r="AV22" s="87"/>
      <c r="AW22" s="134"/>
      <c r="AX22" s="134"/>
      <c r="AY22" s="86" t="s">
        <v>119</v>
      </c>
      <c r="AZ22" s="86"/>
      <c r="BA22" s="86"/>
      <c r="BB22" s="86"/>
      <c r="BC22" s="86"/>
      <c r="BD22" s="87"/>
      <c r="BE22" s="86"/>
      <c r="BF22" s="87"/>
      <c r="BH22" s="86" t="s">
        <v>119</v>
      </c>
      <c r="BI22" s="86"/>
      <c r="BJ22" s="86"/>
      <c r="BK22" s="86"/>
      <c r="BL22" s="86"/>
      <c r="BM22" s="87"/>
      <c r="BN22" s="86"/>
      <c r="BO22" s="87"/>
      <c r="BQ22" s="86" t="s">
        <v>119</v>
      </c>
      <c r="BR22" s="86"/>
      <c r="BS22" s="86"/>
      <c r="BT22" s="86"/>
      <c r="BU22" s="86"/>
      <c r="BV22" s="87"/>
      <c r="BW22" s="86"/>
      <c r="BX22" s="87"/>
    </row>
    <row r="23" spans="1:76" s="133" customFormat="1" ht="24.6" customHeight="1" x14ac:dyDescent="0.2">
      <c r="C23" s="140">
        <v>1</v>
      </c>
      <c r="D23" s="141" t="s">
        <v>55</v>
      </c>
      <c r="E23" s="142"/>
      <c r="F23" s="142"/>
      <c r="G23" s="218">
        <v>0.95</v>
      </c>
      <c r="H23" s="126">
        <v>1</v>
      </c>
      <c r="I23" s="126">
        <f>MIN(H23/G23,1)</f>
        <v>1</v>
      </c>
      <c r="J23" s="219">
        <f>I23*0.1</f>
        <v>0.1</v>
      </c>
      <c r="M23" s="140">
        <v>1</v>
      </c>
      <c r="N23" s="141" t="s">
        <v>52</v>
      </c>
      <c r="O23" s="142"/>
      <c r="P23" s="142"/>
      <c r="Q23" s="218">
        <v>0.95</v>
      </c>
      <c r="R23" s="126">
        <v>1</v>
      </c>
      <c r="S23" s="126">
        <f>MIN(R23/Q23,1)</f>
        <v>1</v>
      </c>
      <c r="T23" s="219">
        <f>S23*0.1</f>
        <v>0.1</v>
      </c>
      <c r="V23" s="140">
        <v>1</v>
      </c>
      <c r="W23" s="141" t="s">
        <v>64</v>
      </c>
      <c r="X23" s="142"/>
      <c r="Y23" s="142"/>
      <c r="Z23" s="218">
        <v>0.95</v>
      </c>
      <c r="AA23" s="126">
        <v>1</v>
      </c>
      <c r="AB23" s="126">
        <f>MIN(AA23/Z23,1)</f>
        <v>1</v>
      </c>
      <c r="AC23" s="219">
        <f>AB23*0.1</f>
        <v>0.1</v>
      </c>
      <c r="AE23" s="140">
        <v>1</v>
      </c>
      <c r="AF23" s="141" t="s">
        <v>53</v>
      </c>
      <c r="AG23" s="142"/>
      <c r="AH23" s="142"/>
      <c r="AI23" s="218">
        <v>0.95</v>
      </c>
      <c r="AJ23" s="126">
        <v>0.95</v>
      </c>
      <c r="AK23" s="126">
        <f>MIN(AJ23/AI23,1)</f>
        <v>1</v>
      </c>
      <c r="AL23" s="219">
        <f>AK23*0.1</f>
        <v>0.1</v>
      </c>
      <c r="AN23" s="134"/>
      <c r="AO23" s="140">
        <v>5</v>
      </c>
      <c r="AP23" s="141" t="s">
        <v>56</v>
      </c>
      <c r="AQ23" s="142"/>
      <c r="AR23" s="142"/>
      <c r="AS23" s="218">
        <v>0.95</v>
      </c>
      <c r="AT23" s="126">
        <v>1</v>
      </c>
      <c r="AU23" s="126">
        <f>MIN(AT23/AS23,1)</f>
        <v>1</v>
      </c>
      <c r="AV23" s="219">
        <f>AU23*0.1</f>
        <v>0.1</v>
      </c>
      <c r="AW23" s="134"/>
      <c r="AX23" s="134"/>
      <c r="AY23" s="140">
        <v>1</v>
      </c>
      <c r="AZ23" s="141" t="s">
        <v>57</v>
      </c>
      <c r="BA23" s="142"/>
      <c r="BB23" s="142"/>
      <c r="BC23" s="218">
        <v>0.95</v>
      </c>
      <c r="BD23" s="126">
        <v>1</v>
      </c>
      <c r="BE23" s="126">
        <f>MIN(BD23/BC23,1)</f>
        <v>1</v>
      </c>
      <c r="BF23" s="219">
        <f>BE23*0.1</f>
        <v>0.1</v>
      </c>
      <c r="BH23" s="140">
        <v>1</v>
      </c>
      <c r="BI23" s="141" t="s">
        <v>116</v>
      </c>
      <c r="BJ23" s="142"/>
      <c r="BK23" s="142"/>
      <c r="BL23" s="218">
        <v>0.95</v>
      </c>
      <c r="BM23" s="126">
        <v>1</v>
      </c>
      <c r="BN23" s="126">
        <f>MIN(BM23/BL23,1)</f>
        <v>1</v>
      </c>
      <c r="BO23" s="219">
        <f>BN23*0.1</f>
        <v>0.1</v>
      </c>
      <c r="BQ23" s="140">
        <v>1</v>
      </c>
      <c r="BR23" s="141" t="s">
        <v>117</v>
      </c>
      <c r="BS23" s="142"/>
      <c r="BT23" s="142"/>
      <c r="BU23" s="218">
        <v>0.95</v>
      </c>
      <c r="BV23" s="126">
        <v>1</v>
      </c>
      <c r="BW23" s="126">
        <f>MIN(BV23/BU23,1)</f>
        <v>1</v>
      </c>
      <c r="BX23" s="219">
        <f>BW23*0.1</f>
        <v>0.1</v>
      </c>
    </row>
    <row r="24" spans="1:76" s="133" customFormat="1" ht="24.6" customHeight="1" x14ac:dyDescent="0.2">
      <c r="C24" s="86" t="s">
        <v>120</v>
      </c>
      <c r="D24" s="86"/>
      <c r="E24" s="86"/>
      <c r="F24" s="86"/>
      <c r="G24" s="86"/>
      <c r="H24" s="87"/>
      <c r="I24" s="86"/>
      <c r="J24" s="87"/>
      <c r="M24" s="86" t="s">
        <v>120</v>
      </c>
      <c r="N24" s="86"/>
      <c r="O24" s="86"/>
      <c r="P24" s="86"/>
      <c r="Q24" s="86"/>
      <c r="R24" s="87"/>
      <c r="S24" s="86"/>
      <c r="T24" s="87"/>
      <c r="V24" s="86" t="s">
        <v>120</v>
      </c>
      <c r="W24" s="86"/>
      <c r="X24" s="86"/>
      <c r="Y24" s="86"/>
      <c r="Z24" s="86"/>
      <c r="AA24" s="87"/>
      <c r="AB24" s="86"/>
      <c r="AC24" s="87"/>
      <c r="AE24" s="86" t="s">
        <v>120</v>
      </c>
      <c r="AF24" s="86"/>
      <c r="AG24" s="86"/>
      <c r="AH24" s="86"/>
      <c r="AI24" s="86"/>
      <c r="AJ24" s="87"/>
      <c r="AK24" s="86"/>
      <c r="AL24" s="87"/>
      <c r="AN24" s="134"/>
      <c r="AO24" s="86" t="s">
        <v>120</v>
      </c>
      <c r="AP24" s="86"/>
      <c r="AQ24" s="86"/>
      <c r="AR24" s="86"/>
      <c r="AS24" s="86"/>
      <c r="AT24" s="87"/>
      <c r="AU24" s="86"/>
      <c r="AV24" s="87"/>
      <c r="AW24" s="134"/>
      <c r="AX24" s="134"/>
      <c r="AY24" s="86" t="s">
        <v>120</v>
      </c>
      <c r="AZ24" s="86"/>
      <c r="BA24" s="86"/>
      <c r="BB24" s="86"/>
      <c r="BC24" s="86"/>
      <c r="BD24" s="87"/>
      <c r="BE24" s="86"/>
      <c r="BF24" s="87"/>
      <c r="BH24" s="86" t="s">
        <v>120</v>
      </c>
      <c r="BI24" s="86"/>
      <c r="BJ24" s="86"/>
      <c r="BK24" s="86"/>
      <c r="BL24" s="86"/>
      <c r="BM24" s="87"/>
      <c r="BN24" s="86"/>
      <c r="BO24" s="87"/>
      <c r="BQ24" s="86" t="s">
        <v>120</v>
      </c>
      <c r="BR24" s="86"/>
      <c r="BS24" s="86"/>
      <c r="BT24" s="86"/>
      <c r="BU24" s="86"/>
      <c r="BV24" s="87"/>
      <c r="BW24" s="86"/>
      <c r="BX24" s="87"/>
    </row>
    <row r="25" spans="1:76" s="133" customFormat="1" ht="24.6" customHeight="1" x14ac:dyDescent="0.2">
      <c r="C25" s="140">
        <v>1</v>
      </c>
      <c r="D25" s="141" t="s">
        <v>55</v>
      </c>
      <c r="E25" s="142"/>
      <c r="F25" s="142"/>
      <c r="G25" s="218">
        <v>0.9</v>
      </c>
      <c r="H25" s="126">
        <v>1</v>
      </c>
      <c r="I25" s="126">
        <f>MIN(H25/G25,1)</f>
        <v>1</v>
      </c>
      <c r="J25" s="219">
        <f>I25*0.1</f>
        <v>0.1</v>
      </c>
      <c r="M25" s="140">
        <v>1</v>
      </c>
      <c r="N25" s="141" t="s">
        <v>52</v>
      </c>
      <c r="O25" s="142"/>
      <c r="P25" s="142"/>
      <c r="Q25" s="218">
        <v>0.9</v>
      </c>
      <c r="R25" s="126">
        <v>1</v>
      </c>
      <c r="S25" s="126">
        <f>MIN(R25/Q25,1)</f>
        <v>1</v>
      </c>
      <c r="T25" s="219">
        <f>S25*0.1</f>
        <v>0.1</v>
      </c>
      <c r="V25" s="140">
        <v>1</v>
      </c>
      <c r="W25" s="141" t="s">
        <v>64</v>
      </c>
      <c r="X25" s="142"/>
      <c r="Y25" s="142"/>
      <c r="Z25" s="218">
        <v>0.9</v>
      </c>
      <c r="AA25" s="126">
        <v>0.8</v>
      </c>
      <c r="AB25" s="126">
        <f>MIN(AA25/Z25,1)</f>
        <v>0.88888888888888895</v>
      </c>
      <c r="AC25" s="219">
        <f>AB25*0.1</f>
        <v>8.8888888888888906E-2</v>
      </c>
      <c r="AE25" s="140">
        <v>1</v>
      </c>
      <c r="AF25" s="141" t="s">
        <v>53</v>
      </c>
      <c r="AG25" s="142"/>
      <c r="AH25" s="142"/>
      <c r="AI25" s="218">
        <v>0.9</v>
      </c>
      <c r="AJ25" s="126">
        <v>1</v>
      </c>
      <c r="AK25" s="126">
        <f>MIN(AJ25/AI25,1)</f>
        <v>1</v>
      </c>
      <c r="AL25" s="219">
        <f>AK25*0.1</f>
        <v>0.1</v>
      </c>
      <c r="AN25" s="134"/>
      <c r="AO25" s="140">
        <v>5</v>
      </c>
      <c r="AP25" s="141" t="s">
        <v>56</v>
      </c>
      <c r="AQ25" s="142"/>
      <c r="AR25" s="142"/>
      <c r="AS25" s="218">
        <v>0.9</v>
      </c>
      <c r="AT25" s="126">
        <v>0.8</v>
      </c>
      <c r="AU25" s="126">
        <f>MIN(AT25/AS25,1)</f>
        <v>0.88888888888888895</v>
      </c>
      <c r="AV25" s="219">
        <f>AU25*0.1</f>
        <v>8.8888888888888906E-2</v>
      </c>
      <c r="AW25" s="134"/>
      <c r="AX25" s="134"/>
      <c r="AY25" s="140">
        <v>1</v>
      </c>
      <c r="AZ25" s="141" t="s">
        <v>57</v>
      </c>
      <c r="BA25" s="142"/>
      <c r="BB25" s="142"/>
      <c r="BC25" s="218">
        <v>0.9</v>
      </c>
      <c r="BD25" s="126">
        <v>1</v>
      </c>
      <c r="BE25" s="126">
        <f>MIN(BD25/BC25,1)</f>
        <v>1</v>
      </c>
      <c r="BF25" s="219">
        <f>BE25*0.1</f>
        <v>0.1</v>
      </c>
      <c r="BH25" s="140">
        <v>1</v>
      </c>
      <c r="BI25" s="141" t="s">
        <v>116</v>
      </c>
      <c r="BJ25" s="142"/>
      <c r="BK25" s="142"/>
      <c r="BL25" s="218">
        <v>0.9</v>
      </c>
      <c r="BM25" s="126">
        <v>1</v>
      </c>
      <c r="BN25" s="126">
        <f>MIN(BM25/BL25,1)</f>
        <v>1</v>
      </c>
      <c r="BO25" s="219">
        <f>BN25*0.1</f>
        <v>0.1</v>
      </c>
      <c r="BQ25" s="140">
        <v>1</v>
      </c>
      <c r="BR25" s="141" t="s">
        <v>117</v>
      </c>
      <c r="BS25" s="142"/>
      <c r="BT25" s="142"/>
      <c r="BU25" s="218">
        <v>0.9</v>
      </c>
      <c r="BV25" s="126">
        <v>0.8</v>
      </c>
      <c r="BW25" s="126">
        <f>MIN(BV25/BU25,1)</f>
        <v>0.88888888888888895</v>
      </c>
      <c r="BX25" s="219">
        <f>BW25*0.1</f>
        <v>8.8888888888888906E-2</v>
      </c>
    </row>
    <row r="26" spans="1:76" x14ac:dyDescent="0.2">
      <c r="A26" s="133"/>
      <c r="B26" s="133"/>
      <c r="C26" s="137"/>
      <c r="D26" s="138"/>
      <c r="E26" s="138"/>
      <c r="F26" s="138"/>
      <c r="G26" s="138"/>
      <c r="H26" s="138"/>
      <c r="I26" s="137"/>
      <c r="J26" s="139"/>
      <c r="M26" s="88"/>
      <c r="O26" s="89"/>
      <c r="P26" s="89"/>
      <c r="Q26" s="90"/>
      <c r="R26" s="90"/>
      <c r="S26" s="91"/>
      <c r="T26" s="91"/>
      <c r="U26" s="133"/>
      <c r="V26" s="88"/>
      <c r="X26" s="89"/>
      <c r="Y26" s="89"/>
      <c r="Z26" s="90"/>
      <c r="AA26" s="90"/>
      <c r="AB26" s="91"/>
      <c r="AC26" s="91"/>
      <c r="AE26" s="88"/>
      <c r="AG26" s="89"/>
      <c r="AH26" s="89"/>
      <c r="AI26" s="90"/>
      <c r="AJ26" s="90"/>
      <c r="AK26" s="91"/>
      <c r="AL26" s="91"/>
      <c r="AM26" s="133"/>
      <c r="AN26" s="134"/>
      <c r="AO26" s="88"/>
      <c r="AQ26" s="89"/>
      <c r="AR26" s="89"/>
      <c r="AS26" s="90"/>
      <c r="AT26" s="90"/>
      <c r="AU26" s="91"/>
      <c r="AV26" s="91"/>
      <c r="AW26" s="121"/>
      <c r="AX26" s="121"/>
      <c r="AY26" s="88"/>
      <c r="BA26" s="89"/>
      <c r="BB26" s="89"/>
      <c r="BC26" s="90"/>
      <c r="BD26" s="90"/>
      <c r="BE26" s="91"/>
      <c r="BF26" s="91"/>
      <c r="BG26" s="133"/>
      <c r="BH26" s="88"/>
      <c r="BJ26" s="89"/>
      <c r="BK26" s="89"/>
      <c r="BL26" s="90"/>
      <c r="BM26" s="90"/>
      <c r="BN26" s="91"/>
      <c r="BO26" s="91"/>
      <c r="BP26" s="133"/>
      <c r="BQ26" s="88"/>
      <c r="BS26" s="89"/>
      <c r="BT26" s="89"/>
      <c r="BU26" s="90"/>
      <c r="BV26" s="90"/>
      <c r="BW26" s="91"/>
      <c r="BX26" s="91"/>
    </row>
    <row r="27" spans="1:76" x14ac:dyDescent="0.2">
      <c r="B27" s="62"/>
      <c r="C27" s="88"/>
      <c r="D27" s="98"/>
      <c r="E27" s="98"/>
      <c r="F27" s="98"/>
      <c r="G27" s="90"/>
      <c r="H27" s="90"/>
      <c r="I27" s="91"/>
      <c r="J27" s="91"/>
      <c r="K27" s="62"/>
      <c r="M27" s="88"/>
      <c r="N27" s="98"/>
      <c r="O27" s="98"/>
      <c r="P27" s="98"/>
      <c r="Q27" s="90"/>
      <c r="R27" s="90"/>
      <c r="S27" s="91"/>
      <c r="T27" s="91"/>
      <c r="U27" s="133"/>
      <c r="V27" s="88"/>
      <c r="W27" s="98"/>
      <c r="X27" s="98"/>
      <c r="Y27" s="98"/>
      <c r="Z27" s="90"/>
      <c r="AA27" s="90"/>
      <c r="AB27" s="91"/>
      <c r="AC27" s="91"/>
      <c r="AE27" s="88"/>
      <c r="AF27" s="98"/>
      <c r="AG27" s="98"/>
      <c r="AH27" s="98"/>
      <c r="AI27" s="90"/>
      <c r="AJ27" s="90"/>
      <c r="AK27" s="91"/>
      <c r="AL27" s="91"/>
      <c r="AN27" s="123"/>
      <c r="AO27" s="88"/>
      <c r="AP27" s="109"/>
      <c r="AQ27" s="109"/>
      <c r="AR27" s="109"/>
      <c r="AS27" s="90"/>
      <c r="AT27" s="90"/>
      <c r="AU27" s="91"/>
      <c r="AV27" s="91"/>
      <c r="AW27" s="123"/>
      <c r="AX27" s="121"/>
      <c r="AY27" s="88"/>
      <c r="AZ27" s="127"/>
      <c r="BA27" s="127"/>
      <c r="BB27" s="127"/>
      <c r="BC27" s="90"/>
      <c r="BD27" s="90"/>
      <c r="BE27" s="91"/>
      <c r="BF27" s="91"/>
      <c r="BH27" s="88"/>
      <c r="BI27" s="130"/>
      <c r="BJ27" s="130"/>
      <c r="BK27" s="130"/>
      <c r="BL27" s="90"/>
      <c r="BM27" s="90"/>
      <c r="BN27" s="91"/>
      <c r="BO27" s="91"/>
      <c r="BP27" s="133"/>
      <c r="BQ27" s="88"/>
      <c r="BR27" s="208"/>
      <c r="BS27" s="208"/>
      <c r="BT27" s="208"/>
      <c r="BU27" s="90"/>
      <c r="BV27" s="90"/>
      <c r="BW27" s="91"/>
      <c r="BX27" s="91"/>
    </row>
    <row r="28" spans="1:76" s="62" customFormat="1" ht="26.25" customHeight="1" x14ac:dyDescent="0.2">
      <c r="C28" s="104" t="s">
        <v>14</v>
      </c>
      <c r="D28" s="293" t="s">
        <v>7</v>
      </c>
      <c r="E28" s="294"/>
      <c r="F28" s="294"/>
      <c r="G28" s="294"/>
      <c r="H28" s="295"/>
      <c r="I28" s="101" t="s">
        <v>24</v>
      </c>
      <c r="J28" s="101" t="s">
        <v>22</v>
      </c>
      <c r="M28" s="93" t="s">
        <v>14</v>
      </c>
      <c r="N28" s="293" t="s">
        <v>7</v>
      </c>
      <c r="O28" s="294"/>
      <c r="P28" s="294"/>
      <c r="Q28" s="294"/>
      <c r="R28" s="295"/>
      <c r="S28" s="101" t="s">
        <v>24</v>
      </c>
      <c r="T28" s="101" t="s">
        <v>22</v>
      </c>
      <c r="V28" s="93" t="s">
        <v>14</v>
      </c>
      <c r="W28" s="293" t="s">
        <v>7</v>
      </c>
      <c r="X28" s="294"/>
      <c r="Y28" s="294"/>
      <c r="Z28" s="294"/>
      <c r="AA28" s="295"/>
      <c r="AB28" s="101" t="s">
        <v>24</v>
      </c>
      <c r="AC28" s="101" t="s">
        <v>22</v>
      </c>
      <c r="AE28" s="93" t="s">
        <v>14</v>
      </c>
      <c r="AF28" s="296" t="s">
        <v>7</v>
      </c>
      <c r="AG28" s="297"/>
      <c r="AH28" s="101"/>
      <c r="AI28" s="101"/>
      <c r="AJ28" s="101"/>
      <c r="AK28" s="101" t="s">
        <v>24</v>
      </c>
      <c r="AL28" s="101" t="s">
        <v>22</v>
      </c>
      <c r="AN28" s="123"/>
      <c r="AO28" s="116" t="s">
        <v>14</v>
      </c>
      <c r="AP28" s="278" t="s">
        <v>7</v>
      </c>
      <c r="AQ28" s="279"/>
      <c r="AR28" s="279"/>
      <c r="AS28" s="279"/>
      <c r="AT28" s="280"/>
      <c r="AU28" s="113" t="s">
        <v>24</v>
      </c>
      <c r="AV28" s="113" t="s">
        <v>22</v>
      </c>
      <c r="AW28" s="123"/>
      <c r="AX28" s="123"/>
      <c r="AY28" s="128" t="s">
        <v>14</v>
      </c>
      <c r="AZ28" s="278" t="s">
        <v>7</v>
      </c>
      <c r="BA28" s="279"/>
      <c r="BB28" s="279"/>
      <c r="BC28" s="279"/>
      <c r="BD28" s="280"/>
      <c r="BE28" s="113" t="s">
        <v>24</v>
      </c>
      <c r="BF28" s="113" t="s">
        <v>22</v>
      </c>
      <c r="BH28" s="129" t="s">
        <v>14</v>
      </c>
      <c r="BI28" s="278" t="s">
        <v>7</v>
      </c>
      <c r="BJ28" s="279"/>
      <c r="BK28" s="279"/>
      <c r="BL28" s="279"/>
      <c r="BM28" s="280"/>
      <c r="BN28" s="113" t="s">
        <v>24</v>
      </c>
      <c r="BO28" s="113" t="s">
        <v>22</v>
      </c>
      <c r="BQ28" s="207" t="s">
        <v>14</v>
      </c>
      <c r="BR28" s="278" t="s">
        <v>7</v>
      </c>
      <c r="BS28" s="279"/>
      <c r="BT28" s="279"/>
      <c r="BU28" s="279"/>
      <c r="BV28" s="280"/>
      <c r="BW28" s="113" t="s">
        <v>24</v>
      </c>
      <c r="BX28" s="113" t="s">
        <v>22</v>
      </c>
    </row>
    <row r="29" spans="1:76" s="62" customFormat="1" ht="24.75" customHeight="1" x14ac:dyDescent="0.2">
      <c r="C29" s="81">
        <v>1</v>
      </c>
      <c r="D29" s="299" t="s">
        <v>55</v>
      </c>
      <c r="E29" s="300"/>
      <c r="F29" s="300"/>
      <c r="G29" s="300"/>
      <c r="H29" s="301"/>
      <c r="I29" s="96">
        <f>J15+J17+J19+J21+J23+J25</f>
        <v>0.99999999999999989</v>
      </c>
      <c r="J29" s="95" t="str">
        <f>+_xlfn.IFS(I29&gt;=95%,"350",I29&gt;=90%,"200",I29&gt;=85%,100,I29&lt;84%,"0")</f>
        <v>350</v>
      </c>
      <c r="M29" s="81">
        <v>2</v>
      </c>
      <c r="N29" s="299" t="s">
        <v>52</v>
      </c>
      <c r="O29" s="300"/>
      <c r="P29" s="300"/>
      <c r="Q29" s="300"/>
      <c r="R29" s="301"/>
      <c r="S29" s="96">
        <f>T15+T17+T19+T21+T23+T25</f>
        <v>0.98618955512572526</v>
      </c>
      <c r="T29" s="95" t="str">
        <f>+_xlfn.IFS(S29&gt;=95%,"350",S29&gt;=90%,"200",S29&gt;=85%,100,S29&lt;84%,"0")</f>
        <v>350</v>
      </c>
      <c r="V29" s="81">
        <v>3</v>
      </c>
      <c r="W29" s="299" t="s">
        <v>64</v>
      </c>
      <c r="X29" s="300"/>
      <c r="Y29" s="300"/>
      <c r="Z29" s="300"/>
      <c r="AA29" s="301"/>
      <c r="AB29" s="96">
        <f>AC15+AC17+AC19+AC21+AC23+AC25</f>
        <v>0.98888888888888882</v>
      </c>
      <c r="AC29" s="95" t="str">
        <f>+_xlfn.IFS(AB29&gt;=95%,"350",AB29&gt;=90%,"200",AB29&gt;=85%,100,AB29&lt;84%,"0")</f>
        <v>350</v>
      </c>
      <c r="AE29" s="81">
        <v>4</v>
      </c>
      <c r="AF29" s="100" t="s">
        <v>53</v>
      </c>
      <c r="AG29" s="100"/>
      <c r="AH29" s="100"/>
      <c r="AI29" s="100"/>
      <c r="AJ29" s="100"/>
      <c r="AK29" s="96">
        <f>AL15+AL17+AL19+AL21+AL23+AL25</f>
        <v>0.97381818181818181</v>
      </c>
      <c r="AL29" s="95" t="str">
        <f>+_xlfn.IFS(AK29&gt;=95%,"350",AK29&gt;=90%,"200",AK29&gt;=85%,100,AK29&lt;84%,"0")</f>
        <v>350</v>
      </c>
      <c r="AN29" s="123"/>
      <c r="AO29" s="81">
        <v>5</v>
      </c>
      <c r="AP29" s="83" t="s">
        <v>56</v>
      </c>
      <c r="AQ29" s="114"/>
      <c r="AR29" s="114"/>
      <c r="AS29" s="114"/>
      <c r="AT29" s="115"/>
      <c r="AU29" s="94">
        <f>AV15+AV17+AV19+AV21+AV23+AV25</f>
        <v>0.98888888888888882</v>
      </c>
      <c r="AV29" s="95" t="str">
        <f>+_xlfn.IFS(AU29&gt;=95%,"350",AU29&gt;=90%,"200",AU29&gt;=85%,100,AU29&lt;84%,"0")</f>
        <v>350</v>
      </c>
      <c r="AW29" s="123"/>
      <c r="AX29" s="123"/>
      <c r="AY29" s="81">
        <v>6</v>
      </c>
      <c r="AZ29" s="83" t="s">
        <v>57</v>
      </c>
      <c r="BA29" s="114"/>
      <c r="BB29" s="114"/>
      <c r="BC29" s="114"/>
      <c r="BD29" s="115"/>
      <c r="BE29" s="94">
        <f>BF15+BF17+BF19+BF21+BF23+BF25</f>
        <v>0.99999999999999989</v>
      </c>
      <c r="BF29" s="95" t="str">
        <f>+_xlfn.IFS(BE29&gt;=95%,"350",BE29&gt;=90%,"200",BE29&gt;=85%,100,BE29&lt;84%,"0")</f>
        <v>350</v>
      </c>
      <c r="BH29" s="81">
        <v>7</v>
      </c>
      <c r="BI29" s="83" t="s">
        <v>116</v>
      </c>
      <c r="BJ29" s="114"/>
      <c r="BK29" s="114"/>
      <c r="BL29" s="114"/>
      <c r="BM29" s="115"/>
      <c r="BN29" s="94">
        <f>BO15+BO17+BO19+BO21+BO23+BO25</f>
        <v>0.99999999999999989</v>
      </c>
      <c r="BO29" s="95" t="str">
        <f>+_xlfn.IFS(BN29&gt;=95%,"350",BN29&gt;=90%,"200",BN29&gt;=85%,100,BN29&lt;84%,"0")</f>
        <v>350</v>
      </c>
      <c r="BQ29" s="209">
        <v>7</v>
      </c>
      <c r="BR29" s="82" t="s">
        <v>117</v>
      </c>
      <c r="BS29" s="114"/>
      <c r="BT29" s="114"/>
      <c r="BU29" s="114"/>
      <c r="BV29" s="115"/>
      <c r="BW29" s="94">
        <f>BX15+BX17+BX19+BX21+BX23+BX25</f>
        <v>0.98888888888888882</v>
      </c>
      <c r="BX29" s="95" t="str">
        <f>+_xlfn.IFS(BW29&gt;=95%,"350",BW29&gt;=90%,"200",BW29&gt;=85%,100,BW29&lt;84%,"0")</f>
        <v>350</v>
      </c>
    </row>
    <row r="30" spans="1:76" s="62" customFormat="1" ht="19.5" customHeight="1" x14ac:dyDescent="0.25">
      <c r="C30" s="105" t="s">
        <v>22</v>
      </c>
      <c r="D30" s="105"/>
      <c r="E30" s="105"/>
      <c r="F30" s="105"/>
      <c r="G30" s="105"/>
      <c r="H30" s="105"/>
      <c r="I30" s="105"/>
      <c r="J30" s="97" t="str">
        <f>+J29</f>
        <v>350</v>
      </c>
      <c r="M30" s="102" t="s">
        <v>22</v>
      </c>
      <c r="N30" s="103"/>
      <c r="O30" s="103"/>
      <c r="P30" s="103"/>
      <c r="Q30" s="103"/>
      <c r="R30" s="103"/>
      <c r="S30" s="103"/>
      <c r="T30" s="97" t="str">
        <f>+T29</f>
        <v>350</v>
      </c>
      <c r="V30" s="102" t="s">
        <v>22</v>
      </c>
      <c r="W30" s="103"/>
      <c r="X30" s="103"/>
      <c r="Y30" s="103"/>
      <c r="Z30" s="103"/>
      <c r="AA30" s="103"/>
      <c r="AB30" s="103"/>
      <c r="AC30" s="97" t="str">
        <f>+AC29</f>
        <v>350</v>
      </c>
      <c r="AE30" s="102" t="s">
        <v>22</v>
      </c>
      <c r="AF30" s="103"/>
      <c r="AG30" s="103"/>
      <c r="AH30" s="103"/>
      <c r="AI30" s="103"/>
      <c r="AJ30" s="103"/>
      <c r="AK30" s="103"/>
      <c r="AL30" s="97" t="str">
        <f>+AL29</f>
        <v>350</v>
      </c>
      <c r="AN30" s="123"/>
      <c r="AO30" s="105" t="s">
        <v>22</v>
      </c>
      <c r="AP30" s="105"/>
      <c r="AQ30" s="105"/>
      <c r="AR30" s="105"/>
      <c r="AS30" s="105"/>
      <c r="AT30" s="105"/>
      <c r="AU30" s="105"/>
      <c r="AV30" s="97" t="str">
        <f>+AV29</f>
        <v>350</v>
      </c>
      <c r="AW30" s="123"/>
      <c r="AX30" s="123"/>
      <c r="AY30" s="105" t="s">
        <v>22</v>
      </c>
      <c r="AZ30" s="105"/>
      <c r="BA30" s="105"/>
      <c r="BB30" s="105"/>
      <c r="BC30" s="105"/>
      <c r="BD30" s="105"/>
      <c r="BE30" s="105"/>
      <c r="BF30" s="97">
        <f>SUM(BF29)</f>
        <v>0</v>
      </c>
      <c r="BH30" s="105" t="s">
        <v>22</v>
      </c>
      <c r="BI30" s="105"/>
      <c r="BJ30" s="105"/>
      <c r="BK30" s="105"/>
      <c r="BL30" s="105"/>
      <c r="BM30" s="105"/>
      <c r="BN30" s="105"/>
      <c r="BO30" s="97" t="str">
        <f>+BO29</f>
        <v>350</v>
      </c>
      <c r="BQ30" s="105" t="s">
        <v>22</v>
      </c>
      <c r="BR30" s="105"/>
      <c r="BS30" s="105"/>
      <c r="BT30" s="105"/>
      <c r="BU30" s="105"/>
      <c r="BV30" s="105"/>
      <c r="BW30" s="105"/>
      <c r="BX30" s="97" t="str">
        <f>+BX29</f>
        <v>350</v>
      </c>
    </row>
    <row r="31" spans="1:76" s="62" customFormat="1" ht="18.600000000000001" customHeight="1" x14ac:dyDescent="0.2">
      <c r="C31" s="88"/>
      <c r="D31" s="298"/>
      <c r="E31" s="298"/>
      <c r="F31" s="298"/>
      <c r="I31" s="92"/>
      <c r="J31" s="92"/>
      <c r="M31" s="88"/>
      <c r="N31" s="298"/>
      <c r="O31" s="298"/>
      <c r="P31" s="298"/>
      <c r="S31" s="92"/>
      <c r="T31" s="92"/>
      <c r="V31" s="88"/>
      <c r="W31" s="298"/>
      <c r="X31" s="298"/>
      <c r="Y31" s="298"/>
      <c r="AB31" s="92"/>
      <c r="AC31" s="92"/>
      <c r="AN31" s="123"/>
      <c r="AW31" s="123"/>
      <c r="AX31" s="123"/>
    </row>
    <row r="32" spans="1:76" s="62" customFormat="1" ht="18.600000000000001" customHeight="1" x14ac:dyDescent="0.25">
      <c r="C32" s="88"/>
      <c r="D32" s="236"/>
      <c r="E32" s="236"/>
      <c r="F32" s="236"/>
      <c r="I32" s="92"/>
      <c r="J32" s="92"/>
      <c r="M32" s="88"/>
      <c r="N32" s="236"/>
      <c r="O32" s="236"/>
      <c r="P32" s="236"/>
      <c r="S32" s="92"/>
      <c r="T32" s="92"/>
      <c r="V32" s="88"/>
      <c r="W32" s="236"/>
      <c r="X32" s="236"/>
      <c r="Y32" s="236"/>
      <c r="AB32" s="92"/>
      <c r="AC32" s="92"/>
      <c r="AN32" s="123"/>
      <c r="AO32" s="269" t="s">
        <v>159</v>
      </c>
      <c r="AP32" s="269"/>
      <c r="AQ32" s="269"/>
      <c r="AR32" s="269"/>
      <c r="AS32" s="269"/>
      <c r="AT32" s="269"/>
      <c r="AU32" s="269"/>
      <c r="AV32" s="269"/>
      <c r="AW32" s="123"/>
      <c r="AX32" s="123"/>
    </row>
    <row r="33" spans="2:50" s="62" customFormat="1" ht="18.600000000000001" customHeight="1" x14ac:dyDescent="0.25">
      <c r="C33" s="88"/>
      <c r="D33" s="236"/>
      <c r="E33" s="236"/>
      <c r="F33" s="236"/>
      <c r="I33" s="92"/>
      <c r="J33" s="92"/>
      <c r="M33" s="88"/>
      <c r="N33" s="236"/>
      <c r="O33" s="236"/>
      <c r="P33" s="236"/>
      <c r="S33" s="92"/>
      <c r="T33" s="92"/>
      <c r="V33" s="88"/>
      <c r="W33" s="236"/>
      <c r="X33" s="236"/>
      <c r="Y33" s="236"/>
      <c r="AB33" s="92"/>
      <c r="AC33" s="92"/>
      <c r="AN33" s="123"/>
      <c r="AO33" s="270">
        <v>46204</v>
      </c>
      <c r="AP33" s="270"/>
      <c r="AQ33" s="270"/>
      <c r="AR33" s="270"/>
      <c r="AS33" s="270"/>
      <c r="AT33" s="270"/>
      <c r="AU33" s="270"/>
      <c r="AV33" s="270"/>
      <c r="AW33" s="123"/>
      <c r="AX33" s="123"/>
    </row>
    <row r="34" spans="2:50" s="62" customFormat="1" ht="25.15" customHeight="1" x14ac:dyDescent="0.2">
      <c r="AN34" s="123"/>
      <c r="AO34" s="289" t="s">
        <v>143</v>
      </c>
      <c r="AP34" s="289"/>
      <c r="AQ34" s="249" t="s">
        <v>1</v>
      </c>
      <c r="AR34" s="289" t="s">
        <v>144</v>
      </c>
      <c r="AS34" s="289"/>
      <c r="AT34" s="249" t="s">
        <v>145</v>
      </c>
      <c r="AU34" s="249" t="s">
        <v>146</v>
      </c>
      <c r="AV34" s="249" t="s">
        <v>147</v>
      </c>
      <c r="AW34" s="123"/>
      <c r="AX34" s="123"/>
    </row>
    <row r="35" spans="2:50" s="62" customFormat="1" ht="57.6" customHeight="1" x14ac:dyDescent="0.2">
      <c r="AF35" s="235" t="s">
        <v>135</v>
      </c>
      <c r="AG35" s="235"/>
      <c r="AH35" s="235"/>
      <c r="AI35" s="235" t="s">
        <v>139</v>
      </c>
      <c r="AN35" s="123"/>
      <c r="AO35" s="290" t="s">
        <v>148</v>
      </c>
      <c r="AP35" s="290"/>
      <c r="AQ35" s="250">
        <v>100</v>
      </c>
      <c r="AR35" s="290" t="s">
        <v>149</v>
      </c>
      <c r="AS35" s="290"/>
      <c r="AT35" s="250" t="s">
        <v>150</v>
      </c>
      <c r="AU35" s="250" t="s">
        <v>151</v>
      </c>
      <c r="AV35" s="250" t="s">
        <v>152</v>
      </c>
      <c r="AW35" s="123"/>
      <c r="AX35" s="123"/>
    </row>
    <row r="36" spans="2:50" s="62" customFormat="1" x14ac:dyDescent="0.2">
      <c r="B36" s="63"/>
      <c r="C36" s="63"/>
      <c r="D36" s="63"/>
      <c r="E36" s="63"/>
      <c r="F36" s="63"/>
      <c r="G36" s="63"/>
      <c r="H36" s="63"/>
      <c r="I36" s="63"/>
      <c r="J36" s="63"/>
      <c r="K36" s="63"/>
      <c r="AF36" s="235" t="s">
        <v>136</v>
      </c>
      <c r="AG36" s="276">
        <v>87.03</v>
      </c>
      <c r="AH36" s="277"/>
      <c r="AI36" s="235"/>
      <c r="AN36" s="121"/>
      <c r="AO36" s="291" t="s">
        <v>0</v>
      </c>
      <c r="AP36" s="291"/>
      <c r="AQ36" s="251">
        <v>100</v>
      </c>
      <c r="AR36" s="292"/>
      <c r="AS36" s="292"/>
      <c r="AT36" s="252"/>
      <c r="AU36" s="252"/>
      <c r="AV36" s="252"/>
      <c r="AW36" s="121"/>
      <c r="AX36" s="123"/>
    </row>
    <row r="37" spans="2:50" s="62" customFormat="1" x14ac:dyDescent="0.2">
      <c r="AF37" s="235" t="s">
        <v>137</v>
      </c>
      <c r="AG37" s="276">
        <v>957</v>
      </c>
      <c r="AH37" s="277"/>
      <c r="AI37" s="235">
        <v>958</v>
      </c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</row>
    <row r="38" spans="2:50" s="62" customFormat="1" ht="18" customHeight="1" x14ac:dyDescent="0.2">
      <c r="AF38" s="235" t="s">
        <v>138</v>
      </c>
      <c r="AG38" s="276"/>
      <c r="AH38" s="277"/>
      <c r="AI38" s="235">
        <v>417</v>
      </c>
      <c r="AN38" s="123"/>
      <c r="AO38" s="265" t="s">
        <v>153</v>
      </c>
      <c r="AP38" s="266"/>
      <c r="AQ38" s="266"/>
      <c r="AR38" s="238"/>
      <c r="AS38" s="238"/>
      <c r="AT38" s="238"/>
      <c r="AU38" s="262" t="s">
        <v>24</v>
      </c>
      <c r="AV38" s="262" t="s">
        <v>154</v>
      </c>
      <c r="AW38" s="123"/>
    </row>
    <row r="39" spans="2:50" s="62" customFormat="1" ht="24" customHeight="1" x14ac:dyDescent="0.2">
      <c r="AI39" s="235">
        <f>+SUM(AI37:AI38)</f>
        <v>1375</v>
      </c>
      <c r="AN39" s="123"/>
      <c r="AO39" s="140">
        <v>5</v>
      </c>
      <c r="AP39" s="141" t="s">
        <v>56</v>
      </c>
      <c r="AQ39" s="142"/>
      <c r="AR39" s="143"/>
      <c r="AS39" s="231">
        <v>1363200</v>
      </c>
      <c r="AT39" s="261">
        <v>1795362</v>
      </c>
      <c r="AU39" s="126">
        <f>+MIN(AT39/AS39,1)</f>
        <v>1</v>
      </c>
      <c r="AV39" s="95" t="str">
        <f>+_xlfn.IFS(AU39&gt;=95%,"300",AU39&gt;=90%,"250",AU39&gt;=85%,200,AU39&lt;84%,"0")</f>
        <v>300</v>
      </c>
      <c r="AW39" s="123"/>
    </row>
    <row r="40" spans="2:50" s="62" customFormat="1" x14ac:dyDescent="0.2">
      <c r="AT40" s="253">
        <f>+SUM(H17+R17+AA17+AJ17+AT17+BD17+BM17+BV17)</f>
        <v>1795361.6800000002</v>
      </c>
    </row>
    <row r="41" spans="2:50" s="62" customFormat="1" ht="15.75" x14ac:dyDescent="0.2">
      <c r="AO41" s="254"/>
      <c r="AP41" s="267"/>
      <c r="AQ41" s="267"/>
      <c r="AR41" s="267"/>
      <c r="AS41" s="267"/>
      <c r="AT41" s="267"/>
      <c r="AU41" s="255"/>
      <c r="AV41" s="255"/>
      <c r="AW41" s="134"/>
    </row>
    <row r="42" spans="2:50" s="62" customFormat="1" x14ac:dyDescent="0.2">
      <c r="AO42" s="137"/>
      <c r="AP42" s="256"/>
      <c r="AQ42" s="138"/>
      <c r="AR42" s="138"/>
      <c r="AS42" s="138"/>
      <c r="AT42" s="138"/>
      <c r="AU42" s="257"/>
      <c r="AV42" s="258"/>
      <c r="AW42" s="134"/>
    </row>
    <row r="43" spans="2:50" s="62" customFormat="1" ht="15.75" x14ac:dyDescent="0.25">
      <c r="AO43" s="259"/>
      <c r="AP43" s="259"/>
      <c r="AQ43" s="259"/>
      <c r="AR43" s="259"/>
      <c r="AS43" s="259"/>
      <c r="AT43" s="259"/>
      <c r="AU43" s="259"/>
      <c r="AV43" s="260"/>
      <c r="AW43" s="134"/>
    </row>
    <row r="44" spans="2:50" s="62" customFormat="1" x14ac:dyDescent="0.2">
      <c r="AO44" s="134"/>
      <c r="AP44" s="134"/>
      <c r="AQ44" s="134"/>
      <c r="AR44" s="134"/>
      <c r="AS44" s="134"/>
      <c r="AT44" s="134"/>
      <c r="AU44" s="134"/>
      <c r="AV44" s="134"/>
      <c r="AW44" s="134"/>
    </row>
    <row r="45" spans="2:50" s="62" customFormat="1" x14ac:dyDescent="0.2"/>
    <row r="46" spans="2:50" s="62" customFormat="1" x14ac:dyDescent="0.2"/>
    <row r="47" spans="2:50" s="62" customFormat="1" x14ac:dyDescent="0.2"/>
    <row r="48" spans="2:50" s="62" customFormat="1" x14ac:dyDescent="0.2"/>
    <row r="49" s="62" customFormat="1" x14ac:dyDescent="0.2"/>
    <row r="50" s="62" customFormat="1" x14ac:dyDescent="0.2"/>
    <row r="51" s="62" customFormat="1" x14ac:dyDescent="0.2"/>
    <row r="52" s="62" customFormat="1" x14ac:dyDescent="0.2"/>
    <row r="53" s="62" customFormat="1" x14ac:dyDescent="0.2"/>
    <row r="54" s="62" customFormat="1" x14ac:dyDescent="0.2"/>
    <row r="55" s="62" customFormat="1" x14ac:dyDescent="0.2"/>
    <row r="56" s="62" customFormat="1" x14ac:dyDescent="0.2"/>
    <row r="57" s="62" customFormat="1" x14ac:dyDescent="0.2"/>
    <row r="58" s="62" customFormat="1" x14ac:dyDescent="0.2"/>
    <row r="59" s="62" customFormat="1" x14ac:dyDescent="0.2"/>
    <row r="60" s="62" customFormat="1" x14ac:dyDescent="0.2"/>
    <row r="61" s="62" customFormat="1" x14ac:dyDescent="0.2"/>
    <row r="62" s="62" customFormat="1" x14ac:dyDescent="0.2"/>
    <row r="63" s="62" customFormat="1" x14ac:dyDescent="0.2"/>
    <row r="64" s="62" customFormat="1" x14ac:dyDescent="0.2"/>
    <row r="65" spans="41:48" s="62" customFormat="1" x14ac:dyDescent="0.2"/>
    <row r="66" spans="41:48" s="62" customFormat="1" x14ac:dyDescent="0.2"/>
    <row r="67" spans="41:48" s="62" customFormat="1" x14ac:dyDescent="0.2"/>
    <row r="68" spans="41:48" s="62" customFormat="1" x14ac:dyDescent="0.2">
      <c r="AO68" s="63"/>
      <c r="AP68" s="63"/>
      <c r="AQ68" s="63"/>
      <c r="AR68" s="63"/>
      <c r="AS68" s="63"/>
      <c r="AT68" s="63"/>
      <c r="AU68" s="63"/>
      <c r="AV68" s="63"/>
    </row>
    <row r="69" spans="41:48" s="62" customFormat="1" x14ac:dyDescent="0.2">
      <c r="AO69" s="63"/>
      <c r="AP69" s="63"/>
      <c r="AQ69" s="63"/>
      <c r="AR69" s="63"/>
      <c r="AS69" s="63"/>
      <c r="AT69" s="63"/>
      <c r="AU69" s="63"/>
      <c r="AV69" s="63"/>
    </row>
  </sheetData>
  <mergeCells count="114">
    <mergeCell ref="AF11:AG11"/>
    <mergeCell ref="N11:O11"/>
    <mergeCell ref="AP11:AQ11"/>
    <mergeCell ref="AB6:AB10"/>
    <mergeCell ref="D31:F31"/>
    <mergeCell ref="H6:H10"/>
    <mergeCell ref="I6:I10"/>
    <mergeCell ref="J6:J10"/>
    <mergeCell ref="D11:E11"/>
    <mergeCell ref="D29:H29"/>
    <mergeCell ref="W29:AA29"/>
    <mergeCell ref="N31:P31"/>
    <mergeCell ref="W31:Y31"/>
    <mergeCell ref="W11:X11"/>
    <mergeCell ref="W28:AA28"/>
    <mergeCell ref="N29:R29"/>
    <mergeCell ref="S6:S10"/>
    <mergeCell ref="T6:T10"/>
    <mergeCell ref="AL6:AL10"/>
    <mergeCell ref="AA6:AA10"/>
    <mergeCell ref="AO2:AV2"/>
    <mergeCell ref="AP4:AQ5"/>
    <mergeCell ref="AR4:AR5"/>
    <mergeCell ref="AS4:AS5"/>
    <mergeCell ref="AT4:AV4"/>
    <mergeCell ref="AY1:BF1"/>
    <mergeCell ref="AY2:BF2"/>
    <mergeCell ref="AZ4:BA5"/>
    <mergeCell ref="BB4:BB5"/>
    <mergeCell ref="BC4:BC5"/>
    <mergeCell ref="BD4:BF4"/>
    <mergeCell ref="AZ28:BD28"/>
    <mergeCell ref="AP28:AT28"/>
    <mergeCell ref="M1:T1"/>
    <mergeCell ref="M2:T2"/>
    <mergeCell ref="N4:O5"/>
    <mergeCell ref="P4:P5"/>
    <mergeCell ref="Q4:Q5"/>
    <mergeCell ref="R4:T4"/>
    <mergeCell ref="V1:AC1"/>
    <mergeCell ref="V2:AC2"/>
    <mergeCell ref="W4:X5"/>
    <mergeCell ref="AA4:AC4"/>
    <mergeCell ref="AE1:AL1"/>
    <mergeCell ref="AE2:AL2"/>
    <mergeCell ref="AF4:AG5"/>
    <mergeCell ref="AH4:AH5"/>
    <mergeCell ref="AI4:AI5"/>
    <mergeCell ref="AJ4:AL4"/>
    <mergeCell ref="Y4:Y5"/>
    <mergeCell ref="Z4:Z5"/>
    <mergeCell ref="AO1:AV1"/>
    <mergeCell ref="N28:R28"/>
    <mergeCell ref="AF28:AG28"/>
    <mergeCell ref="AC6:AC10"/>
    <mergeCell ref="BH1:BO1"/>
    <mergeCell ref="BH2:BO2"/>
    <mergeCell ref="BI11:BJ11"/>
    <mergeCell ref="BM6:BM10"/>
    <mergeCell ref="BN6:BN10"/>
    <mergeCell ref="BO6:BO10"/>
    <mergeCell ref="AG36:AH36"/>
    <mergeCell ref="AT6:AT10"/>
    <mergeCell ref="BI4:BJ5"/>
    <mergeCell ref="BK4:BK5"/>
    <mergeCell ref="BL4:BL5"/>
    <mergeCell ref="BM4:BO4"/>
    <mergeCell ref="AZ11:BA11"/>
    <mergeCell ref="BD6:BD10"/>
    <mergeCell ref="BE6:BE10"/>
    <mergeCell ref="BF6:BF10"/>
    <mergeCell ref="AU6:AU10"/>
    <mergeCell ref="AV6:AV10"/>
    <mergeCell ref="BI28:BM28"/>
    <mergeCell ref="AO34:AP34"/>
    <mergeCell ref="AO35:AP35"/>
    <mergeCell ref="AO36:AP36"/>
    <mergeCell ref="AR34:AS34"/>
    <mergeCell ref="AR35:AS35"/>
    <mergeCell ref="BR28:BV28"/>
    <mergeCell ref="BQ1:BX1"/>
    <mergeCell ref="BQ2:BX2"/>
    <mergeCell ref="BR4:BS5"/>
    <mergeCell ref="BT4:BT5"/>
    <mergeCell ref="BU4:BU5"/>
    <mergeCell ref="BV4:BX4"/>
    <mergeCell ref="BV6:BV10"/>
    <mergeCell ref="BW6:BW10"/>
    <mergeCell ref="BX6:BX10"/>
    <mergeCell ref="BR11:BS11"/>
    <mergeCell ref="AO38:AQ38"/>
    <mergeCell ref="AP41:AT41"/>
    <mergeCell ref="AO3:AP3"/>
    <mergeCell ref="AO32:AV32"/>
    <mergeCell ref="AO33:AV33"/>
    <mergeCell ref="A6:B6"/>
    <mergeCell ref="A1:B1"/>
    <mergeCell ref="A2:B2"/>
    <mergeCell ref="A3:B3"/>
    <mergeCell ref="A4:B4"/>
    <mergeCell ref="A5:B5"/>
    <mergeCell ref="AG37:AH37"/>
    <mergeCell ref="AG38:AH38"/>
    <mergeCell ref="AR36:AS36"/>
    <mergeCell ref="C1:J1"/>
    <mergeCell ref="C2:J2"/>
    <mergeCell ref="D4:E5"/>
    <mergeCell ref="F4:F5"/>
    <mergeCell ref="G4:G5"/>
    <mergeCell ref="H4:J4"/>
    <mergeCell ref="D28:H28"/>
    <mergeCell ref="R6:R10"/>
    <mergeCell ref="AJ6:AJ10"/>
    <mergeCell ref="AK6:AK10"/>
  </mergeCells>
  <pageMargins left="1.1023622047244095" right="0.70866141732283472" top="0.74803149606299213" bottom="0.74803149606299213" header="0.31496062992125984" footer="0.31496062992125984"/>
  <pageSetup paperSize="9" scale="54" orientation="portrait" r:id="rId1"/>
  <colBreaks count="7" manualBreakCount="7">
    <brk id="11" max="38" man="1"/>
    <brk id="21" max="38" man="1"/>
    <brk id="30" max="38" man="1"/>
    <brk id="40" max="38" man="1"/>
    <brk id="50" max="38" man="1"/>
    <brk id="59" max="38" man="1"/>
    <brk id="68" max="3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N41"/>
  <sheetViews>
    <sheetView zoomScale="110" zoomScaleNormal="110" zoomScaleSheetLayoutView="120" workbookViewId="0">
      <selection activeCell="D23" sqref="D23"/>
    </sheetView>
  </sheetViews>
  <sheetFormatPr baseColWidth="10" defaultColWidth="11.42578125" defaultRowHeight="12.75" x14ac:dyDescent="0.2"/>
  <cols>
    <col min="1" max="1" width="8.85546875" style="4" customWidth="1"/>
    <col min="2" max="2" width="4.7109375" style="2" customWidth="1"/>
    <col min="3" max="3" width="4.42578125" style="4" customWidth="1"/>
    <col min="4" max="4" width="15.7109375" style="4" customWidth="1"/>
    <col min="5" max="5" width="5.5703125" style="4" customWidth="1"/>
    <col min="6" max="6" width="12.85546875" style="4" customWidth="1"/>
    <col min="7" max="7" width="15.28515625" style="4" customWidth="1"/>
    <col min="8" max="8" width="10.28515625" style="4" customWidth="1"/>
    <col min="9" max="9" width="10" style="4" customWidth="1"/>
    <col min="10" max="10" width="9.5703125" style="4" customWidth="1"/>
    <col min="11" max="11" width="6" style="4" customWidth="1"/>
    <col min="12" max="13" width="11.42578125" style="4"/>
    <col min="14" max="14" width="12.7109375" style="4" bestFit="1" customWidth="1"/>
    <col min="15" max="16384" width="11.42578125" style="4"/>
  </cols>
  <sheetData>
    <row r="2" spans="3:14" s="2" customFormat="1" ht="5.25" customHeight="1" x14ac:dyDescent="0.2">
      <c r="H2" s="8"/>
    </row>
    <row r="3" spans="3:14" s="2" customFormat="1" ht="22.5" x14ac:dyDescent="0.45">
      <c r="C3" s="302" t="s">
        <v>25</v>
      </c>
      <c r="D3" s="302"/>
      <c r="E3" s="302"/>
      <c r="F3" s="302"/>
      <c r="G3" s="302"/>
      <c r="H3" s="302"/>
      <c r="I3" s="302"/>
      <c r="J3" s="302"/>
    </row>
    <row r="4" spans="3:14" s="2" customFormat="1" ht="15.75" customHeight="1" x14ac:dyDescent="0.3">
      <c r="C4" s="303" t="s">
        <v>48</v>
      </c>
      <c r="D4" s="303"/>
      <c r="E4" s="303"/>
      <c r="F4" s="303"/>
      <c r="G4" s="303"/>
      <c r="H4" s="303"/>
      <c r="I4" s="303"/>
      <c r="J4" s="303"/>
    </row>
    <row r="5" spans="3:14" ht="9" customHeight="1" x14ac:dyDescent="0.2">
      <c r="D5" s="16" t="s">
        <v>6</v>
      </c>
      <c r="E5" s="16"/>
      <c r="F5" s="16"/>
      <c r="G5" s="16"/>
      <c r="H5" s="8"/>
      <c r="I5" s="2"/>
      <c r="J5" s="2"/>
    </row>
    <row r="6" spans="3:14" x14ac:dyDescent="0.2">
      <c r="C6" s="2"/>
      <c r="D6" s="304" t="s">
        <v>7</v>
      </c>
      <c r="E6" s="305"/>
      <c r="F6" s="308" t="s">
        <v>1</v>
      </c>
      <c r="G6" s="308" t="s">
        <v>2</v>
      </c>
      <c r="H6" s="308" t="s">
        <v>20</v>
      </c>
      <c r="I6" s="308"/>
      <c r="J6" s="308"/>
      <c r="K6" s="39"/>
      <c r="L6" s="10"/>
      <c r="M6" s="10"/>
      <c r="N6" s="10"/>
    </row>
    <row r="7" spans="3:14" x14ac:dyDescent="0.2">
      <c r="C7" s="2"/>
      <c r="D7" s="306"/>
      <c r="E7" s="307"/>
      <c r="F7" s="308"/>
      <c r="G7" s="308"/>
      <c r="H7" s="33" t="s">
        <v>9</v>
      </c>
      <c r="I7" s="33" t="s">
        <v>10</v>
      </c>
      <c r="J7" s="33" t="s">
        <v>13</v>
      </c>
      <c r="K7" s="11"/>
      <c r="L7" s="11"/>
      <c r="M7" s="11"/>
      <c r="N7" s="11"/>
    </row>
    <row r="8" spans="3:14" x14ac:dyDescent="0.2">
      <c r="C8" s="2"/>
      <c r="D8" s="23" t="s">
        <v>3</v>
      </c>
      <c r="E8" s="24"/>
      <c r="F8" s="22">
        <v>50</v>
      </c>
      <c r="G8" s="17" t="s">
        <v>49</v>
      </c>
      <c r="H8" s="309" t="s">
        <v>11</v>
      </c>
      <c r="I8" s="309" t="s">
        <v>12</v>
      </c>
      <c r="J8" s="309">
        <v>350</v>
      </c>
    </row>
    <row r="9" spans="3:14" x14ac:dyDescent="0.2">
      <c r="C9" s="2"/>
      <c r="D9" s="23" t="s">
        <v>8</v>
      </c>
      <c r="E9" s="24"/>
      <c r="F9" s="22">
        <v>30</v>
      </c>
      <c r="G9" s="18" t="s">
        <v>51</v>
      </c>
      <c r="H9" s="309"/>
      <c r="I9" s="309"/>
      <c r="J9" s="309"/>
      <c r="K9" s="40"/>
      <c r="L9" s="12"/>
      <c r="M9" s="310"/>
    </row>
    <row r="10" spans="3:14" x14ac:dyDescent="0.2">
      <c r="C10" s="2"/>
      <c r="D10" s="23" t="s">
        <v>4</v>
      </c>
      <c r="E10" s="24"/>
      <c r="F10" s="22">
        <v>15</v>
      </c>
      <c r="G10" s="18" t="s">
        <v>50</v>
      </c>
      <c r="H10" s="309"/>
      <c r="I10" s="309"/>
      <c r="J10" s="309"/>
      <c r="M10" s="310"/>
    </row>
    <row r="11" spans="3:14" x14ac:dyDescent="0.2">
      <c r="C11" s="2"/>
      <c r="D11" s="23" t="s">
        <v>5</v>
      </c>
      <c r="E11" s="24"/>
      <c r="F11" s="22">
        <v>5</v>
      </c>
      <c r="G11" s="18" t="s">
        <v>15</v>
      </c>
      <c r="H11" s="309"/>
      <c r="I11" s="309"/>
      <c r="J11" s="309"/>
      <c r="M11" s="13"/>
    </row>
    <row r="12" spans="3:14" x14ac:dyDescent="0.2">
      <c r="C12" s="2"/>
      <c r="D12" s="311" t="s">
        <v>0</v>
      </c>
      <c r="E12" s="312"/>
      <c r="F12" s="5">
        <f>SUM(F8:F11)</f>
        <v>100</v>
      </c>
      <c r="G12" s="6"/>
      <c r="H12" s="25" t="s">
        <v>11</v>
      </c>
      <c r="I12" s="25" t="s">
        <v>12</v>
      </c>
      <c r="J12" s="25" t="s">
        <v>26</v>
      </c>
    </row>
    <row r="13" spans="3:14" x14ac:dyDescent="0.2">
      <c r="C13" s="2"/>
      <c r="I13" s="2"/>
      <c r="J13" s="2"/>
    </row>
    <row r="14" spans="3:14" ht="12" customHeight="1" x14ac:dyDescent="0.2">
      <c r="H14" s="7"/>
      <c r="K14" s="14"/>
      <c r="L14" s="14"/>
      <c r="M14" s="14"/>
      <c r="N14" s="14"/>
    </row>
    <row r="15" spans="3:14" ht="15" customHeight="1" x14ac:dyDescent="0.2">
      <c r="C15" s="28" t="s">
        <v>16</v>
      </c>
      <c r="D15" s="29"/>
      <c r="E15" s="29"/>
      <c r="F15" s="29"/>
      <c r="G15" s="33" t="s">
        <v>27</v>
      </c>
      <c r="H15" s="33" t="s">
        <v>21</v>
      </c>
      <c r="I15" s="30" t="s">
        <v>24</v>
      </c>
      <c r="J15" s="30" t="s">
        <v>28</v>
      </c>
      <c r="K15" s="14"/>
      <c r="L15" s="14"/>
      <c r="M15" s="14"/>
      <c r="N15" s="14"/>
    </row>
    <row r="16" spans="3:14" ht="15" customHeight="1" x14ac:dyDescent="0.25">
      <c r="C16" s="9">
        <v>1</v>
      </c>
      <c r="D16" s="61" t="s">
        <v>29</v>
      </c>
      <c r="E16" s="27"/>
      <c r="F16" s="26"/>
      <c r="G16" s="35">
        <v>2000</v>
      </c>
      <c r="H16" s="35">
        <v>1917</v>
      </c>
      <c r="I16" s="46">
        <f>H16/G16</f>
        <v>0.95850000000000002</v>
      </c>
      <c r="J16" s="46">
        <f>I16*0.5</f>
        <v>0.47925000000000001</v>
      </c>
    </row>
    <row r="17" spans="3:10" x14ac:dyDescent="0.2">
      <c r="C17" s="322" t="s">
        <v>17</v>
      </c>
      <c r="D17" s="323"/>
      <c r="E17" s="323"/>
      <c r="F17" s="323"/>
      <c r="G17" s="323"/>
      <c r="H17" s="323"/>
      <c r="I17" s="323"/>
      <c r="J17" s="324"/>
    </row>
    <row r="18" spans="3:10" x14ac:dyDescent="0.2">
      <c r="C18" s="9">
        <v>1</v>
      </c>
      <c r="D18" s="19" t="s">
        <v>29</v>
      </c>
      <c r="E18" s="20"/>
      <c r="F18" s="21"/>
      <c r="G18" s="49">
        <v>58000</v>
      </c>
      <c r="H18" s="49">
        <v>37159</v>
      </c>
      <c r="I18" s="50">
        <f>H18/G18</f>
        <v>0.64067241379310347</v>
      </c>
      <c r="J18" s="50">
        <f>I18*0.3</f>
        <v>0.19220172413793105</v>
      </c>
    </row>
    <row r="19" spans="3:10" ht="15.75" customHeight="1" x14ac:dyDescent="0.2">
      <c r="C19" s="322" t="s">
        <v>18</v>
      </c>
      <c r="D19" s="323"/>
      <c r="E19" s="323"/>
      <c r="F19" s="323"/>
      <c r="G19" s="323"/>
      <c r="H19" s="323"/>
      <c r="I19" s="323"/>
      <c r="J19" s="323"/>
    </row>
    <row r="20" spans="3:10" x14ac:dyDescent="0.2">
      <c r="C20" s="9">
        <v>1</v>
      </c>
      <c r="D20" s="19" t="s">
        <v>29</v>
      </c>
      <c r="E20" s="20"/>
      <c r="F20" s="20"/>
      <c r="G20" s="9">
        <v>390</v>
      </c>
      <c r="H20" s="9">
        <v>422</v>
      </c>
      <c r="I20" s="48">
        <f>H20/G20</f>
        <v>1.082051282051282</v>
      </c>
      <c r="J20" s="48">
        <v>0.15</v>
      </c>
    </row>
    <row r="21" spans="3:10" x14ac:dyDescent="0.2">
      <c r="C21" s="31" t="s">
        <v>19</v>
      </c>
      <c r="D21" s="31"/>
      <c r="E21" s="31"/>
      <c r="F21" s="31"/>
      <c r="G21" s="31"/>
      <c r="H21" s="31"/>
      <c r="I21" s="31" t="s">
        <v>23</v>
      </c>
      <c r="J21" s="32" t="s">
        <v>24</v>
      </c>
    </row>
    <row r="22" spans="3:10" s="2" customFormat="1" ht="15.75" customHeight="1" x14ac:dyDescent="0.2">
      <c r="C22" s="9">
        <v>1</v>
      </c>
      <c r="D22" s="313" t="s">
        <v>29</v>
      </c>
      <c r="E22" s="314"/>
      <c r="F22" s="314"/>
      <c r="G22" s="314"/>
      <c r="H22" s="315"/>
      <c r="I22" s="9">
        <v>4</v>
      </c>
      <c r="J22" s="48">
        <v>0.04</v>
      </c>
    </row>
    <row r="23" spans="3:10" s="2" customFormat="1" x14ac:dyDescent="0.2">
      <c r="H23" s="8"/>
    </row>
    <row r="24" spans="3:10" s="2" customFormat="1" ht="25.5" x14ac:dyDescent="0.2">
      <c r="C24" s="33" t="s">
        <v>14</v>
      </c>
      <c r="D24" s="316" t="s">
        <v>7</v>
      </c>
      <c r="E24" s="317"/>
      <c r="F24" s="317"/>
      <c r="G24" s="317"/>
      <c r="H24" s="318"/>
      <c r="I24" s="15" t="s">
        <v>24</v>
      </c>
      <c r="J24" s="15" t="s">
        <v>22</v>
      </c>
    </row>
    <row r="25" spans="3:10" s="2" customFormat="1" ht="15.75" customHeight="1" x14ac:dyDescent="0.2">
      <c r="C25" s="9">
        <v>1</v>
      </c>
      <c r="D25" s="313" t="s">
        <v>29</v>
      </c>
      <c r="E25" s="314"/>
      <c r="F25" s="314"/>
      <c r="G25" s="314"/>
      <c r="H25" s="315"/>
      <c r="I25" s="34">
        <f>J16+J18+J20+J22</f>
        <v>0.86145172413793114</v>
      </c>
      <c r="J25" s="37">
        <v>100</v>
      </c>
    </row>
    <row r="26" spans="3:10" s="2" customFormat="1" x14ac:dyDescent="0.2">
      <c r="C26" s="319" t="s">
        <v>22</v>
      </c>
      <c r="D26" s="320"/>
      <c r="E26" s="320"/>
      <c r="F26" s="320"/>
      <c r="G26" s="320"/>
      <c r="H26" s="320"/>
      <c r="I26" s="321"/>
      <c r="J26" s="38">
        <f>SUM(J25:J25)</f>
        <v>100</v>
      </c>
    </row>
    <row r="27" spans="3:10" s="2" customFormat="1" x14ac:dyDescent="0.2">
      <c r="I27" s="8"/>
    </row>
    <row r="28" spans="3:10" s="2" customFormat="1" x14ac:dyDescent="0.2">
      <c r="I28" s="8"/>
    </row>
    <row r="29" spans="3:10" s="2" customFormat="1" x14ac:dyDescent="0.2">
      <c r="H29" s="8"/>
    </row>
    <row r="30" spans="3:10" s="2" customFormat="1" x14ac:dyDescent="0.2">
      <c r="H30" s="8"/>
    </row>
    <row r="31" spans="3:10" s="2" customFormat="1" x14ac:dyDescent="0.2">
      <c r="H31" s="8"/>
    </row>
    <row r="32" spans="3:10" s="2" customFormat="1" x14ac:dyDescent="0.2">
      <c r="H32" s="8"/>
    </row>
    <row r="33" spans="2:8" s="2" customFormat="1" x14ac:dyDescent="0.2">
      <c r="H33" s="8"/>
    </row>
    <row r="34" spans="2:8" s="2" customFormat="1" x14ac:dyDescent="0.2">
      <c r="H34" s="8"/>
    </row>
    <row r="35" spans="2:8" s="2" customFormat="1" x14ac:dyDescent="0.2">
      <c r="H35" s="8"/>
    </row>
    <row r="36" spans="2:8" s="2" customFormat="1" x14ac:dyDescent="0.2">
      <c r="H36" s="8"/>
    </row>
    <row r="37" spans="2:8" s="2" customFormat="1" x14ac:dyDescent="0.2">
      <c r="H37" s="8"/>
    </row>
    <row r="38" spans="2:8" s="2" customFormat="1" x14ac:dyDescent="0.2">
      <c r="H38" s="8"/>
    </row>
    <row r="39" spans="2:8" s="2" customFormat="1" x14ac:dyDescent="0.2">
      <c r="B39" s="3"/>
      <c r="H39" s="8"/>
    </row>
    <row r="40" spans="2:8" s="2" customFormat="1" x14ac:dyDescent="0.2">
      <c r="H40" s="8"/>
    </row>
    <row r="41" spans="2:8" s="2" customFormat="1" x14ac:dyDescent="0.2"/>
  </sheetData>
  <mergeCells count="17">
    <mergeCell ref="D22:H22"/>
    <mergeCell ref="D24:H24"/>
    <mergeCell ref="D25:H25"/>
    <mergeCell ref="C26:I26"/>
    <mergeCell ref="C17:J17"/>
    <mergeCell ref="C19:J19"/>
    <mergeCell ref="H8:H11"/>
    <mergeCell ref="I8:I11"/>
    <mergeCell ref="J8:J11"/>
    <mergeCell ref="M9:M10"/>
    <mergeCell ref="D12:E12"/>
    <mergeCell ref="C3:J3"/>
    <mergeCell ref="C4:J4"/>
    <mergeCell ref="D6:E7"/>
    <mergeCell ref="F6:F7"/>
    <mergeCell ref="G6:G7"/>
    <mergeCell ref="H6:J6"/>
  </mergeCells>
  <pageMargins left="0.7" right="0.7" top="0.75" bottom="0.75" header="0.3" footer="0.3"/>
  <pageSetup scale="9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6F85-31CD-4DAD-AA03-9BB33FFA59FC}">
  <sheetPr>
    <tabColor rgb="FFFFFF00"/>
  </sheetPr>
  <dimension ref="A1:AC59"/>
  <sheetViews>
    <sheetView showGridLines="0" zoomScale="85" zoomScaleNormal="85" zoomScaleSheetLayoutView="81" workbookViewId="0">
      <selection activeCell="V2" sqref="V2:AC2"/>
    </sheetView>
  </sheetViews>
  <sheetFormatPr baseColWidth="10" defaultColWidth="11.5703125" defaultRowHeight="15" x14ac:dyDescent="0.2"/>
  <cols>
    <col min="1" max="1" width="5.28515625" style="63" customWidth="1"/>
    <col min="2" max="2" width="4.5703125" style="63" customWidth="1"/>
    <col min="3" max="3" width="8.28515625" style="63" customWidth="1"/>
    <col min="4" max="6" width="11.5703125" style="63"/>
    <col min="7" max="7" width="18.85546875" style="63" customWidth="1"/>
    <col min="8" max="8" width="13.140625" style="63" customWidth="1"/>
    <col min="9" max="9" width="21.85546875" style="63" customWidth="1"/>
    <col min="10" max="10" width="23.42578125" style="63" customWidth="1"/>
    <col min="11" max="11" width="11.5703125" style="63"/>
    <col min="12" max="12" width="8.28515625" style="63" customWidth="1"/>
    <col min="13" max="13" width="10" style="63" customWidth="1"/>
    <col min="14" max="16" width="11.5703125" style="63"/>
    <col min="17" max="17" width="19.7109375" style="63" customWidth="1"/>
    <col min="18" max="18" width="17.7109375" style="63" customWidth="1"/>
    <col min="19" max="19" width="13.7109375" style="63" customWidth="1"/>
    <col min="20" max="20" width="19.7109375" style="63" customWidth="1"/>
    <col min="21" max="21" width="11.5703125" style="63"/>
    <col min="22" max="22" width="8.7109375" style="63" customWidth="1"/>
    <col min="23" max="25" width="11.5703125" style="63"/>
    <col min="26" max="26" width="22.5703125" style="63" customWidth="1"/>
    <col min="27" max="27" width="14.28515625" style="63" customWidth="1"/>
    <col min="28" max="28" width="13.7109375" style="63" customWidth="1"/>
    <col min="29" max="29" width="22.85546875" style="63" customWidth="1"/>
    <col min="30" max="16384" width="11.5703125" style="63"/>
  </cols>
  <sheetData>
    <row r="1" spans="1:29" s="62" customFormat="1" ht="15.75" customHeight="1" x14ac:dyDescent="0.25">
      <c r="A1" s="123"/>
      <c r="B1" s="123"/>
      <c r="C1" s="269" t="s">
        <v>131</v>
      </c>
      <c r="D1" s="269"/>
      <c r="E1" s="269"/>
      <c r="F1" s="269"/>
      <c r="G1" s="269"/>
      <c r="H1" s="269"/>
      <c r="I1" s="269"/>
      <c r="J1" s="269"/>
      <c r="K1" s="123"/>
      <c r="L1" s="123"/>
      <c r="M1" s="269" t="s">
        <v>131</v>
      </c>
      <c r="N1" s="269"/>
      <c r="O1" s="269"/>
      <c r="P1" s="269"/>
      <c r="Q1" s="269"/>
      <c r="R1" s="269"/>
      <c r="S1" s="269"/>
      <c r="T1" s="269"/>
      <c r="U1" s="123"/>
      <c r="V1" s="269" t="s">
        <v>131</v>
      </c>
      <c r="W1" s="269"/>
      <c r="X1" s="269"/>
      <c r="Y1" s="269"/>
      <c r="Z1" s="269"/>
      <c r="AA1" s="269"/>
      <c r="AB1" s="269"/>
      <c r="AC1" s="269"/>
    </row>
    <row r="2" spans="1:29" s="62" customFormat="1" ht="15.75" x14ac:dyDescent="0.25">
      <c r="A2" s="123"/>
      <c r="B2" s="123"/>
      <c r="C2" s="270">
        <v>46204</v>
      </c>
      <c r="D2" s="325"/>
      <c r="E2" s="325"/>
      <c r="F2" s="325"/>
      <c r="G2" s="325"/>
      <c r="H2" s="325"/>
      <c r="I2" s="325"/>
      <c r="J2" s="325"/>
      <c r="K2" s="123"/>
      <c r="L2" s="123"/>
      <c r="M2" s="270">
        <v>46204</v>
      </c>
      <c r="N2" s="325"/>
      <c r="O2" s="325"/>
      <c r="P2" s="325"/>
      <c r="Q2" s="325"/>
      <c r="R2" s="325"/>
      <c r="S2" s="325"/>
      <c r="T2" s="325"/>
      <c r="U2" s="123"/>
      <c r="V2" s="270">
        <v>46204</v>
      </c>
      <c r="W2" s="325"/>
      <c r="X2" s="325"/>
      <c r="Y2" s="325"/>
      <c r="Z2" s="325"/>
      <c r="AA2" s="325"/>
      <c r="AB2" s="325"/>
      <c r="AC2" s="325"/>
    </row>
    <row r="3" spans="1:29" s="62" customFormat="1" ht="15.75" customHeight="1" x14ac:dyDescent="0.25">
      <c r="B3" s="63"/>
      <c r="C3" s="63"/>
      <c r="D3" s="64"/>
      <c r="E3" s="64"/>
      <c r="F3" s="64"/>
      <c r="G3" s="64"/>
      <c r="H3" s="65"/>
      <c r="K3" s="63"/>
      <c r="M3" s="63"/>
      <c r="N3" s="64"/>
      <c r="O3" s="64"/>
      <c r="P3" s="64"/>
      <c r="Q3" s="64"/>
      <c r="R3" s="65"/>
      <c r="V3" s="63"/>
      <c r="W3" s="64"/>
      <c r="X3" s="64"/>
      <c r="Y3" s="64"/>
      <c r="Z3" s="64"/>
      <c r="AA3" s="65"/>
    </row>
    <row r="4" spans="1:29" ht="21" customHeight="1" x14ac:dyDescent="0.25">
      <c r="B4" s="68"/>
      <c r="C4" s="62"/>
      <c r="D4" s="281" t="s">
        <v>7</v>
      </c>
      <c r="E4" s="282"/>
      <c r="F4" s="285" t="s">
        <v>1</v>
      </c>
      <c r="G4" s="285" t="s">
        <v>2</v>
      </c>
      <c r="H4" s="285" t="s">
        <v>20</v>
      </c>
      <c r="I4" s="285"/>
      <c r="J4" s="285"/>
      <c r="K4" s="67"/>
      <c r="M4" s="62"/>
      <c r="N4" s="281" t="s">
        <v>7</v>
      </c>
      <c r="O4" s="282"/>
      <c r="P4" s="285" t="s">
        <v>1</v>
      </c>
      <c r="Q4" s="285" t="s">
        <v>2</v>
      </c>
      <c r="R4" s="285" t="s">
        <v>20</v>
      </c>
      <c r="S4" s="285"/>
      <c r="T4" s="285"/>
      <c r="V4" s="62"/>
      <c r="W4" s="281" t="s">
        <v>7</v>
      </c>
      <c r="X4" s="282"/>
      <c r="Y4" s="285" t="s">
        <v>1</v>
      </c>
      <c r="Z4" s="285" t="s">
        <v>2</v>
      </c>
      <c r="AA4" s="285" t="s">
        <v>20</v>
      </c>
      <c r="AB4" s="285"/>
      <c r="AC4" s="285"/>
    </row>
    <row r="5" spans="1:29" ht="15.75" x14ac:dyDescent="0.25">
      <c r="B5" s="69"/>
      <c r="C5" s="62"/>
      <c r="D5" s="283"/>
      <c r="E5" s="284"/>
      <c r="F5" s="285"/>
      <c r="G5" s="285"/>
      <c r="H5" s="232" t="s">
        <v>9</v>
      </c>
      <c r="I5" s="232" t="s">
        <v>10</v>
      </c>
      <c r="J5" s="232" t="s">
        <v>13</v>
      </c>
      <c r="K5" s="69"/>
      <c r="M5" s="62"/>
      <c r="N5" s="283"/>
      <c r="O5" s="284"/>
      <c r="P5" s="285"/>
      <c r="Q5" s="285"/>
      <c r="R5" s="232" t="s">
        <v>9</v>
      </c>
      <c r="S5" s="232" t="s">
        <v>10</v>
      </c>
      <c r="T5" s="232" t="s">
        <v>13</v>
      </c>
      <c r="V5" s="62"/>
      <c r="W5" s="283"/>
      <c r="X5" s="284"/>
      <c r="Y5" s="285"/>
      <c r="Z5" s="285"/>
      <c r="AA5" s="232" t="s">
        <v>9</v>
      </c>
      <c r="AB5" s="232" t="s">
        <v>10</v>
      </c>
      <c r="AC5" s="232" t="s">
        <v>13</v>
      </c>
    </row>
    <row r="6" spans="1:29" ht="15.75" x14ac:dyDescent="0.2">
      <c r="C6" s="62"/>
      <c r="D6" s="111" t="s">
        <v>3</v>
      </c>
      <c r="E6" s="112"/>
      <c r="F6" s="110">
        <v>70</v>
      </c>
      <c r="G6" s="70" t="s">
        <v>124</v>
      </c>
      <c r="H6" s="286" t="s">
        <v>11</v>
      </c>
      <c r="I6" s="286" t="s">
        <v>127</v>
      </c>
      <c r="J6" s="286" t="s">
        <v>128</v>
      </c>
      <c r="M6" s="62"/>
      <c r="N6" s="111" t="s">
        <v>3</v>
      </c>
      <c r="O6" s="112"/>
      <c r="P6" s="110">
        <v>70</v>
      </c>
      <c r="Q6" s="70" t="s">
        <v>124</v>
      </c>
      <c r="R6" s="286" t="s">
        <v>132</v>
      </c>
      <c r="S6" s="286" t="s">
        <v>133</v>
      </c>
      <c r="T6" s="286" t="s">
        <v>31</v>
      </c>
      <c r="V6" s="62"/>
      <c r="W6" s="111" t="s">
        <v>3</v>
      </c>
      <c r="X6" s="112"/>
      <c r="Y6" s="110">
        <v>70</v>
      </c>
      <c r="Z6" s="70" t="s">
        <v>124</v>
      </c>
      <c r="AA6" s="286" t="s">
        <v>132</v>
      </c>
      <c r="AB6" s="286" t="s">
        <v>133</v>
      </c>
      <c r="AC6" s="286" t="s">
        <v>31</v>
      </c>
    </row>
    <row r="7" spans="1:29" ht="15.75" x14ac:dyDescent="0.2">
      <c r="C7" s="62"/>
      <c r="D7" s="111" t="s">
        <v>125</v>
      </c>
      <c r="E7" s="112"/>
      <c r="F7" s="110">
        <v>15</v>
      </c>
      <c r="G7" s="136">
        <v>0.95</v>
      </c>
      <c r="H7" s="286"/>
      <c r="I7" s="286"/>
      <c r="J7" s="286"/>
      <c r="M7" s="62"/>
      <c r="N7" s="111" t="s">
        <v>125</v>
      </c>
      <c r="O7" s="112"/>
      <c r="P7" s="110">
        <v>15</v>
      </c>
      <c r="Q7" s="136">
        <v>0.95</v>
      </c>
      <c r="R7" s="286"/>
      <c r="S7" s="286"/>
      <c r="T7" s="286"/>
      <c r="V7" s="62"/>
      <c r="W7" s="111" t="s">
        <v>125</v>
      </c>
      <c r="X7" s="112"/>
      <c r="Y7" s="110">
        <v>15</v>
      </c>
      <c r="Z7" s="136">
        <v>0.95</v>
      </c>
      <c r="AA7" s="286"/>
      <c r="AB7" s="286"/>
      <c r="AC7" s="286"/>
    </row>
    <row r="8" spans="1:29" ht="15.75" x14ac:dyDescent="0.2">
      <c r="C8" s="62"/>
      <c r="D8" s="111" t="s">
        <v>126</v>
      </c>
      <c r="E8" s="112"/>
      <c r="F8" s="110">
        <v>15</v>
      </c>
      <c r="G8" s="136">
        <v>0.9</v>
      </c>
      <c r="H8" s="286"/>
      <c r="I8" s="286"/>
      <c r="J8" s="286"/>
      <c r="M8" s="62"/>
      <c r="N8" s="111" t="s">
        <v>126</v>
      </c>
      <c r="O8" s="112"/>
      <c r="P8" s="110">
        <v>15</v>
      </c>
      <c r="Q8" s="136">
        <v>0.9</v>
      </c>
      <c r="R8" s="286"/>
      <c r="S8" s="286"/>
      <c r="T8" s="286"/>
      <c r="V8" s="62"/>
      <c r="W8" s="111" t="s">
        <v>126</v>
      </c>
      <c r="X8" s="112"/>
      <c r="Y8" s="110">
        <v>15</v>
      </c>
      <c r="Z8" s="136">
        <v>0.9</v>
      </c>
      <c r="AA8" s="286"/>
      <c r="AB8" s="286"/>
      <c r="AC8" s="286"/>
    </row>
    <row r="9" spans="1:29" ht="21" customHeight="1" x14ac:dyDescent="0.25">
      <c r="C9" s="62"/>
      <c r="D9" s="287" t="s">
        <v>0</v>
      </c>
      <c r="E9" s="288"/>
      <c r="F9" s="74">
        <f>SUM(F6:F8)</f>
        <v>100</v>
      </c>
      <c r="G9" s="75"/>
      <c r="H9" s="76" t="s">
        <v>11</v>
      </c>
      <c r="I9" s="76" t="s">
        <v>127</v>
      </c>
      <c r="J9" s="76" t="s">
        <v>128</v>
      </c>
      <c r="M9" s="62"/>
      <c r="N9" s="287" t="s">
        <v>0</v>
      </c>
      <c r="O9" s="288"/>
      <c r="P9" s="74">
        <f>SUM(P6:P8)</f>
        <v>100</v>
      </c>
      <c r="Q9" s="75"/>
      <c r="R9" s="76" t="s">
        <v>132</v>
      </c>
      <c r="S9" s="76" t="s">
        <v>133</v>
      </c>
      <c r="T9" s="76" t="s">
        <v>31</v>
      </c>
      <c r="V9" s="62"/>
      <c r="W9" s="287" t="s">
        <v>0</v>
      </c>
      <c r="X9" s="288"/>
      <c r="Y9" s="74">
        <f>SUM(Y6:Y8)</f>
        <v>100</v>
      </c>
      <c r="Z9" s="75"/>
      <c r="AA9" s="76" t="s">
        <v>132</v>
      </c>
      <c r="AB9" s="76" t="s">
        <v>133</v>
      </c>
      <c r="AC9" s="76" t="s">
        <v>31</v>
      </c>
    </row>
    <row r="10" spans="1:29" x14ac:dyDescent="0.2">
      <c r="C10" s="62"/>
      <c r="I10" s="62"/>
      <c r="J10" s="62"/>
      <c r="M10" s="62"/>
      <c r="S10" s="62"/>
      <c r="T10" s="62"/>
      <c r="V10" s="62"/>
      <c r="AB10" s="62"/>
      <c r="AC10" s="62"/>
    </row>
    <row r="11" spans="1:29" ht="12" customHeight="1" x14ac:dyDescent="0.2">
      <c r="B11" s="77"/>
      <c r="K11" s="197"/>
      <c r="L11" s="133"/>
    </row>
    <row r="12" spans="1:29" ht="21.75" customHeight="1" x14ac:dyDescent="0.2">
      <c r="A12" s="133"/>
      <c r="B12" s="133"/>
      <c r="C12" s="78" t="s">
        <v>16</v>
      </c>
      <c r="D12" s="79"/>
      <c r="E12" s="79"/>
      <c r="F12" s="79"/>
      <c r="G12" s="232" t="s">
        <v>27</v>
      </c>
      <c r="H12" s="232" t="s">
        <v>21</v>
      </c>
      <c r="I12" s="80" t="s">
        <v>24</v>
      </c>
      <c r="J12" s="80" t="s">
        <v>28</v>
      </c>
      <c r="K12" s="133"/>
      <c r="L12" s="133"/>
      <c r="M12" s="78" t="s">
        <v>16</v>
      </c>
      <c r="N12" s="79"/>
      <c r="O12" s="79"/>
      <c r="P12" s="79"/>
      <c r="Q12" s="232" t="s">
        <v>27</v>
      </c>
      <c r="R12" s="232" t="s">
        <v>21</v>
      </c>
      <c r="S12" s="80" t="s">
        <v>24</v>
      </c>
      <c r="T12" s="80" t="s">
        <v>28</v>
      </c>
      <c r="U12" s="133"/>
      <c r="V12" s="78" t="s">
        <v>16</v>
      </c>
      <c r="W12" s="79"/>
      <c r="X12" s="79"/>
      <c r="Y12" s="79"/>
      <c r="Z12" s="232" t="s">
        <v>27</v>
      </c>
      <c r="AA12" s="232" t="s">
        <v>21</v>
      </c>
      <c r="AB12" s="80" t="s">
        <v>24</v>
      </c>
      <c r="AC12" s="80" t="s">
        <v>28</v>
      </c>
    </row>
    <row r="13" spans="1:29" ht="21.75" customHeight="1" x14ac:dyDescent="0.2">
      <c r="A13" s="133"/>
      <c r="B13" s="133"/>
      <c r="C13" s="215">
        <v>1</v>
      </c>
      <c r="D13" s="82" t="s">
        <v>134</v>
      </c>
      <c r="E13" s="83"/>
      <c r="F13" s="84"/>
      <c r="G13" s="215">
        <v>4000</v>
      </c>
      <c r="H13" s="140">
        <v>3148</v>
      </c>
      <c r="I13" s="126">
        <f>MIN(H13/G13,1)</f>
        <v>0.78700000000000003</v>
      </c>
      <c r="J13" s="85">
        <f>I13*0.7</f>
        <v>0.55089999999999995</v>
      </c>
      <c r="K13" s="133"/>
      <c r="L13" s="133"/>
      <c r="M13" s="215">
        <v>1</v>
      </c>
      <c r="N13" s="82" t="s">
        <v>129</v>
      </c>
      <c r="O13" s="83"/>
      <c r="P13" s="84"/>
      <c r="Q13" s="215">
        <v>3000</v>
      </c>
      <c r="R13" s="140">
        <v>2389</v>
      </c>
      <c r="S13" s="126">
        <f>MIN(R13/Q13,1)</f>
        <v>0.79633333333333334</v>
      </c>
      <c r="T13" s="85">
        <f>S13*0.7</f>
        <v>0.55743333333333334</v>
      </c>
      <c r="U13" s="133"/>
      <c r="V13" s="215">
        <v>1</v>
      </c>
      <c r="W13" s="82" t="s">
        <v>130</v>
      </c>
      <c r="X13" s="83"/>
      <c r="Y13" s="84"/>
      <c r="Z13" s="215">
        <v>3000</v>
      </c>
      <c r="AA13" s="140">
        <v>2584</v>
      </c>
      <c r="AB13" s="126">
        <f>MIN(AA13/Z13,1)</f>
        <v>0.86133333333333328</v>
      </c>
      <c r="AC13" s="85">
        <f>AB13*0.7</f>
        <v>0.60293333333333321</v>
      </c>
    </row>
    <row r="14" spans="1:29" s="133" customFormat="1" ht="21.75" customHeight="1" x14ac:dyDescent="0.2">
      <c r="C14" s="86" t="s">
        <v>119</v>
      </c>
      <c r="D14" s="86"/>
      <c r="E14" s="86"/>
      <c r="F14" s="86"/>
      <c r="G14" s="86"/>
      <c r="H14" s="87"/>
      <c r="I14" s="86"/>
      <c r="J14" s="87"/>
      <c r="M14" s="86" t="s">
        <v>119</v>
      </c>
      <c r="N14" s="86"/>
      <c r="O14" s="86"/>
      <c r="P14" s="86"/>
      <c r="Q14" s="86"/>
      <c r="R14" s="87"/>
      <c r="S14" s="86"/>
      <c r="T14" s="87"/>
      <c r="V14" s="86" t="s">
        <v>119</v>
      </c>
      <c r="W14" s="86"/>
      <c r="X14" s="86"/>
      <c r="Y14" s="86"/>
      <c r="Z14" s="86"/>
      <c r="AA14" s="87"/>
      <c r="AB14" s="86"/>
      <c r="AC14" s="87"/>
    </row>
    <row r="15" spans="1:29" s="133" customFormat="1" ht="24.6" customHeight="1" x14ac:dyDescent="0.2">
      <c r="C15" s="140">
        <v>1</v>
      </c>
      <c r="D15" s="82" t="s">
        <v>134</v>
      </c>
      <c r="E15" s="142"/>
      <c r="F15" s="142"/>
      <c r="G15" s="218">
        <v>0.95</v>
      </c>
      <c r="H15" s="126">
        <v>1</v>
      </c>
      <c r="I15" s="126">
        <f>MIN(H15/G15,1)</f>
        <v>1</v>
      </c>
      <c r="J15" s="217">
        <f>I15*0.15</f>
        <v>0.15</v>
      </c>
      <c r="M15" s="140">
        <v>1</v>
      </c>
      <c r="N15" s="82" t="s">
        <v>129</v>
      </c>
      <c r="O15" s="142"/>
      <c r="P15" s="142"/>
      <c r="Q15" s="218">
        <v>0.95</v>
      </c>
      <c r="R15" s="126">
        <v>1</v>
      </c>
      <c r="S15" s="126">
        <f>MIN(R15/Q15,1)</f>
        <v>1</v>
      </c>
      <c r="T15" s="217">
        <f>S15*0.15</f>
        <v>0.15</v>
      </c>
      <c r="V15" s="140">
        <v>1</v>
      </c>
      <c r="W15" s="82" t="s">
        <v>130</v>
      </c>
      <c r="X15" s="142"/>
      <c r="Y15" s="142"/>
      <c r="Z15" s="218">
        <v>0.95</v>
      </c>
      <c r="AA15" s="126">
        <v>1</v>
      </c>
      <c r="AB15" s="126">
        <f>MIN(AA15/Z15,1)</f>
        <v>1</v>
      </c>
      <c r="AC15" s="217">
        <f>AB15*0.15</f>
        <v>0.15</v>
      </c>
    </row>
    <row r="16" spans="1:29" s="133" customFormat="1" ht="24.6" customHeight="1" x14ac:dyDescent="0.2">
      <c r="C16" s="86" t="s">
        <v>120</v>
      </c>
      <c r="D16" s="86"/>
      <c r="E16" s="86"/>
      <c r="F16" s="86"/>
      <c r="G16" s="86"/>
      <c r="H16" s="87"/>
      <c r="I16" s="86"/>
      <c r="J16" s="87"/>
      <c r="M16" s="86" t="s">
        <v>120</v>
      </c>
      <c r="N16" s="86"/>
      <c r="O16" s="86"/>
      <c r="P16" s="86"/>
      <c r="Q16" s="86"/>
      <c r="R16" s="87"/>
      <c r="S16" s="86"/>
      <c r="T16" s="87"/>
      <c r="V16" s="86" t="s">
        <v>120</v>
      </c>
      <c r="W16" s="86"/>
      <c r="X16" s="86"/>
      <c r="Y16" s="86"/>
      <c r="Z16" s="86"/>
      <c r="AA16" s="87"/>
      <c r="AB16" s="86"/>
      <c r="AC16" s="87"/>
    </row>
    <row r="17" spans="1:29" s="133" customFormat="1" ht="24.6" customHeight="1" x14ac:dyDescent="0.2">
      <c r="C17" s="140">
        <v>1</v>
      </c>
      <c r="D17" s="82" t="s">
        <v>134</v>
      </c>
      <c r="E17" s="142"/>
      <c r="F17" s="142"/>
      <c r="G17" s="218">
        <v>0.9</v>
      </c>
      <c r="H17" s="126">
        <v>1</v>
      </c>
      <c r="I17" s="126">
        <f>MIN(H17/G17,1)</f>
        <v>1</v>
      </c>
      <c r="J17" s="217">
        <f>I17*0.15</f>
        <v>0.15</v>
      </c>
      <c r="M17" s="140">
        <v>1</v>
      </c>
      <c r="N17" s="82" t="s">
        <v>129</v>
      </c>
      <c r="O17" s="142"/>
      <c r="P17" s="142"/>
      <c r="Q17" s="218">
        <v>0.9</v>
      </c>
      <c r="R17" s="126">
        <v>1</v>
      </c>
      <c r="S17" s="126">
        <f>MIN(R17/Q17,1)</f>
        <v>1</v>
      </c>
      <c r="T17" s="217">
        <f>S17*0.15</f>
        <v>0.15</v>
      </c>
      <c r="V17" s="140">
        <v>1</v>
      </c>
      <c r="W17" s="82" t="s">
        <v>130</v>
      </c>
      <c r="X17" s="142"/>
      <c r="Y17" s="142"/>
      <c r="Z17" s="218">
        <v>0.9</v>
      </c>
      <c r="AA17" s="126">
        <v>0.8</v>
      </c>
      <c r="AB17" s="126">
        <f>MIN(AA17/Z17,1)</f>
        <v>0.88888888888888895</v>
      </c>
      <c r="AC17" s="217">
        <f>AB17*0.15</f>
        <v>0.13333333333333333</v>
      </c>
    </row>
    <row r="18" spans="1:29" x14ac:dyDescent="0.2">
      <c r="A18" s="133"/>
      <c r="B18" s="133"/>
      <c r="C18" s="137"/>
      <c r="D18" s="138"/>
      <c r="E18" s="138"/>
      <c r="F18" s="138"/>
      <c r="G18" s="138"/>
      <c r="H18" s="138"/>
      <c r="I18" s="137"/>
      <c r="J18" s="139"/>
      <c r="M18" s="137"/>
      <c r="N18" s="138"/>
      <c r="O18" s="138"/>
      <c r="P18" s="138"/>
      <c r="Q18" s="138"/>
      <c r="R18" s="138"/>
      <c r="S18" s="137"/>
      <c r="T18" s="139"/>
      <c r="U18" s="133"/>
      <c r="V18" s="137"/>
      <c r="W18" s="138"/>
      <c r="X18" s="138"/>
      <c r="Y18" s="138"/>
      <c r="Z18" s="138"/>
      <c r="AA18" s="138"/>
      <c r="AB18" s="137"/>
      <c r="AC18" s="139"/>
    </row>
    <row r="19" spans="1:29" x14ac:dyDescent="0.2">
      <c r="B19" s="62"/>
      <c r="C19" s="88"/>
      <c r="D19" s="233"/>
      <c r="E19" s="233"/>
      <c r="F19" s="233"/>
      <c r="G19" s="90"/>
      <c r="H19" s="90"/>
      <c r="I19" s="91"/>
      <c r="J19" s="91"/>
      <c r="K19" s="62"/>
      <c r="M19" s="88"/>
      <c r="N19" s="233"/>
      <c r="O19" s="233"/>
      <c r="P19" s="233"/>
      <c r="Q19" s="90"/>
      <c r="R19" s="90"/>
      <c r="S19" s="91"/>
      <c r="T19" s="91"/>
      <c r="U19" s="133"/>
      <c r="V19" s="88"/>
      <c r="W19" s="233"/>
      <c r="X19" s="233"/>
      <c r="Y19" s="233"/>
      <c r="Z19" s="90"/>
      <c r="AA19" s="90"/>
      <c r="AB19" s="91"/>
      <c r="AC19" s="91"/>
    </row>
    <row r="20" spans="1:29" s="62" customFormat="1" ht="26.25" customHeight="1" x14ac:dyDescent="0.2">
      <c r="C20" s="232" t="s">
        <v>14</v>
      </c>
      <c r="D20" s="293" t="s">
        <v>7</v>
      </c>
      <c r="E20" s="294"/>
      <c r="F20" s="294"/>
      <c r="G20" s="294"/>
      <c r="H20" s="295"/>
      <c r="I20" s="234" t="s">
        <v>24</v>
      </c>
      <c r="J20" s="234" t="s">
        <v>22</v>
      </c>
      <c r="M20" s="232" t="s">
        <v>14</v>
      </c>
      <c r="N20" s="293" t="s">
        <v>7</v>
      </c>
      <c r="O20" s="294"/>
      <c r="P20" s="294"/>
      <c r="Q20" s="294"/>
      <c r="R20" s="295"/>
      <c r="S20" s="234" t="s">
        <v>24</v>
      </c>
      <c r="T20" s="234" t="s">
        <v>22</v>
      </c>
      <c r="V20" s="232" t="s">
        <v>14</v>
      </c>
      <c r="W20" s="293" t="s">
        <v>7</v>
      </c>
      <c r="X20" s="294"/>
      <c r="Y20" s="294"/>
      <c r="Z20" s="294"/>
      <c r="AA20" s="295"/>
      <c r="AB20" s="234" t="s">
        <v>24</v>
      </c>
      <c r="AC20" s="234" t="s">
        <v>22</v>
      </c>
    </row>
    <row r="21" spans="1:29" s="62" customFormat="1" ht="24.75" customHeight="1" x14ac:dyDescent="0.2">
      <c r="C21" s="215">
        <v>1</v>
      </c>
      <c r="D21" s="299" t="s">
        <v>134</v>
      </c>
      <c r="E21" s="300"/>
      <c r="F21" s="300"/>
      <c r="G21" s="300"/>
      <c r="H21" s="301"/>
      <c r="I21" s="96">
        <f>J13+J15+J17</f>
        <v>0.85089999999999999</v>
      </c>
      <c r="J21" s="95">
        <f>+_xlfn.IFS(I21&gt;=95%,"250",I21&gt;=90%,"150",I21&gt;=85%,100,I21&lt;84%,"0")</f>
        <v>100</v>
      </c>
      <c r="M21" s="215">
        <v>1</v>
      </c>
      <c r="N21" s="299" t="s">
        <v>129</v>
      </c>
      <c r="O21" s="300"/>
      <c r="P21" s="300"/>
      <c r="Q21" s="300"/>
      <c r="R21" s="301"/>
      <c r="S21" s="96">
        <f>T13+T15+T17</f>
        <v>0.85743333333333338</v>
      </c>
      <c r="T21" s="95">
        <f>+_xlfn.IFS(S21&gt;=95%,"500",S21&gt;=90%,"450",S21&gt;=85%,400,S21&lt;84%,"0")</f>
        <v>400</v>
      </c>
      <c r="V21" s="215">
        <v>1</v>
      </c>
      <c r="W21" s="299" t="s">
        <v>130</v>
      </c>
      <c r="X21" s="300"/>
      <c r="Y21" s="300"/>
      <c r="Z21" s="300"/>
      <c r="AA21" s="301"/>
      <c r="AB21" s="96">
        <f>AC13+AC15+AC17</f>
        <v>0.88626666666666654</v>
      </c>
      <c r="AC21" s="95">
        <f>+_xlfn.IFS(AB21&gt;=95%,"500",AB21&gt;=90%,"450",AB21&gt;=85%,400,AB21&lt;84%,"0")</f>
        <v>400</v>
      </c>
    </row>
    <row r="22" spans="1:29" s="62" customFormat="1" ht="19.5" customHeight="1" x14ac:dyDescent="0.25">
      <c r="C22" s="105" t="s">
        <v>22</v>
      </c>
      <c r="D22" s="105"/>
      <c r="E22" s="105"/>
      <c r="F22" s="105"/>
      <c r="G22" s="105"/>
      <c r="H22" s="105"/>
      <c r="I22" s="105"/>
      <c r="J22" s="97">
        <f>+J21</f>
        <v>100</v>
      </c>
      <c r="M22" s="105" t="s">
        <v>22</v>
      </c>
      <c r="N22" s="105"/>
      <c r="O22" s="105"/>
      <c r="P22" s="105"/>
      <c r="Q22" s="105"/>
      <c r="R22" s="105"/>
      <c r="S22" s="105"/>
      <c r="T22" s="97">
        <f>+T21</f>
        <v>400</v>
      </c>
      <c r="V22" s="105" t="s">
        <v>22</v>
      </c>
      <c r="W22" s="105"/>
      <c r="X22" s="105"/>
      <c r="Y22" s="105"/>
      <c r="Z22" s="105"/>
      <c r="AA22" s="105"/>
      <c r="AB22" s="105"/>
      <c r="AC22" s="97">
        <f>+AC21</f>
        <v>400</v>
      </c>
    </row>
    <row r="23" spans="1:29" s="62" customFormat="1" ht="18.600000000000001" customHeight="1" x14ac:dyDescent="0.2">
      <c r="C23" s="88"/>
      <c r="D23" s="298"/>
      <c r="E23" s="298"/>
      <c r="F23" s="298"/>
      <c r="I23" s="92"/>
      <c r="J23" s="92"/>
      <c r="M23" s="88"/>
      <c r="N23" s="298"/>
      <c r="O23" s="298"/>
      <c r="P23" s="298"/>
      <c r="S23" s="92"/>
      <c r="T23" s="92"/>
      <c r="V23" s="88"/>
      <c r="W23" s="298"/>
      <c r="X23" s="298"/>
      <c r="Y23" s="298"/>
      <c r="AB23" s="92"/>
      <c r="AC23" s="92"/>
    </row>
    <row r="24" spans="1:29" s="62" customFormat="1" ht="25.15" customHeight="1" x14ac:dyDescent="0.2"/>
    <row r="25" spans="1:29" s="62" customFormat="1" x14ac:dyDescent="0.2"/>
    <row r="26" spans="1:29" s="62" customFormat="1" x14ac:dyDescent="0.2"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29" s="62" customFormat="1" x14ac:dyDescent="0.2"/>
    <row r="28" spans="1:29" s="62" customFormat="1" x14ac:dyDescent="0.2"/>
    <row r="29" spans="1:29" s="62" customFormat="1" x14ac:dyDescent="0.2"/>
    <row r="30" spans="1:29" s="62" customFormat="1" x14ac:dyDescent="0.2"/>
    <row r="31" spans="1:29" s="62" customFormat="1" x14ac:dyDescent="0.2"/>
    <row r="32" spans="1:29" s="62" customFormat="1" x14ac:dyDescent="0.2"/>
    <row r="33" s="62" customFormat="1" x14ac:dyDescent="0.2"/>
    <row r="34" s="62" customFormat="1" x14ac:dyDescent="0.2"/>
    <row r="35" s="62" customFormat="1" x14ac:dyDescent="0.2"/>
    <row r="36" s="62" customFormat="1" x14ac:dyDescent="0.2"/>
    <row r="37" s="62" customFormat="1" x14ac:dyDescent="0.2"/>
    <row r="38" s="62" customFormat="1" x14ac:dyDescent="0.2"/>
    <row r="39" s="62" customFormat="1" x14ac:dyDescent="0.2"/>
    <row r="40" s="62" customFormat="1" x14ac:dyDescent="0.2"/>
    <row r="41" s="62" customFormat="1" x14ac:dyDescent="0.2"/>
    <row r="42" s="62" customFormat="1" x14ac:dyDescent="0.2"/>
    <row r="43" s="62" customFormat="1" x14ac:dyDescent="0.2"/>
    <row r="44" s="62" customFormat="1" x14ac:dyDescent="0.2"/>
    <row r="45" s="62" customFormat="1" x14ac:dyDescent="0.2"/>
    <row r="46" s="62" customFormat="1" x14ac:dyDescent="0.2"/>
    <row r="47" s="62" customFormat="1" x14ac:dyDescent="0.2"/>
    <row r="48" s="62" customFormat="1" x14ac:dyDescent="0.2"/>
    <row r="49" s="62" customFormat="1" x14ac:dyDescent="0.2"/>
    <row r="50" s="62" customFormat="1" x14ac:dyDescent="0.2"/>
    <row r="51" s="62" customFormat="1" x14ac:dyDescent="0.2"/>
    <row r="52" s="62" customFormat="1" x14ac:dyDescent="0.2"/>
    <row r="53" s="62" customFormat="1" x14ac:dyDescent="0.2"/>
    <row r="54" s="62" customFormat="1" x14ac:dyDescent="0.2"/>
    <row r="55" s="62" customFormat="1" x14ac:dyDescent="0.2"/>
    <row r="56" s="62" customFormat="1" x14ac:dyDescent="0.2"/>
    <row r="57" s="62" customFormat="1" x14ac:dyDescent="0.2"/>
    <row r="58" s="62" customFormat="1" x14ac:dyDescent="0.2"/>
    <row r="59" s="62" customFormat="1" x14ac:dyDescent="0.2"/>
  </sheetData>
  <mergeCells count="39">
    <mergeCell ref="C2:J2"/>
    <mergeCell ref="M2:T2"/>
    <mergeCell ref="V2:AC2"/>
    <mergeCell ref="C1:J1"/>
    <mergeCell ref="M1:T1"/>
    <mergeCell ref="V1:AC1"/>
    <mergeCell ref="AA4:AC4"/>
    <mergeCell ref="D4:E5"/>
    <mergeCell ref="F4:F5"/>
    <mergeCell ref="G4:G5"/>
    <mergeCell ref="H4:J4"/>
    <mergeCell ref="N4:O5"/>
    <mergeCell ref="P4:P5"/>
    <mergeCell ref="Q4:Q5"/>
    <mergeCell ref="R4:T4"/>
    <mergeCell ref="W4:X5"/>
    <mergeCell ref="Y4:Y5"/>
    <mergeCell ref="Z4:Z5"/>
    <mergeCell ref="AC6:AC8"/>
    <mergeCell ref="H6:H8"/>
    <mergeCell ref="I6:I8"/>
    <mergeCell ref="J6:J8"/>
    <mergeCell ref="R6:R8"/>
    <mergeCell ref="S6:S8"/>
    <mergeCell ref="T6:T8"/>
    <mergeCell ref="AA6:AA8"/>
    <mergeCell ref="AB6:AB8"/>
    <mergeCell ref="D20:H20"/>
    <mergeCell ref="N20:R20"/>
    <mergeCell ref="W20:AA20"/>
    <mergeCell ref="D9:E9"/>
    <mergeCell ref="N9:O9"/>
    <mergeCell ref="W9:X9"/>
    <mergeCell ref="D21:H21"/>
    <mergeCell ref="N21:R21"/>
    <mergeCell ref="W21:AA21"/>
    <mergeCell ref="D23:F23"/>
    <mergeCell ref="N23:P23"/>
    <mergeCell ref="W23:Y23"/>
  </mergeCells>
  <pageMargins left="1.1023622047244095" right="0.70866141732283472" top="0.74803149606299213" bottom="0.74803149606299213" header="0.31496062992125984" footer="0.31496062992125984"/>
  <pageSetup paperSize="9" scale="54" orientation="portrait" r:id="rId1"/>
  <colBreaks count="2" manualBreakCount="2">
    <brk id="11" max="38" man="1"/>
    <brk id="21" max="3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5AAA-92E1-481C-80DF-575B93B770AE}">
  <sheetPr>
    <tabColor theme="4"/>
  </sheetPr>
  <dimension ref="A4:J26"/>
  <sheetViews>
    <sheetView showGridLines="0" view="pageBreakPreview" zoomScaleNormal="100" zoomScaleSheetLayoutView="100" workbookViewId="0">
      <selection activeCell="G10" sqref="G10"/>
    </sheetView>
  </sheetViews>
  <sheetFormatPr baseColWidth="10" defaultRowHeight="15" x14ac:dyDescent="0.25"/>
  <cols>
    <col min="5" max="5" width="12.5703125" customWidth="1"/>
    <col min="6" max="6" width="16" customWidth="1"/>
    <col min="7" max="7" width="21.85546875" customWidth="1"/>
    <col min="8" max="8" width="19.85546875" customWidth="1"/>
  </cols>
  <sheetData>
    <row r="4" spans="1:10" ht="20.45" customHeight="1" x14ac:dyDescent="0.25">
      <c r="A4" s="269" t="s">
        <v>65</v>
      </c>
      <c r="B4" s="269"/>
      <c r="C4" s="269"/>
      <c r="D4" s="269"/>
      <c r="E4" s="269"/>
      <c r="F4" s="269"/>
      <c r="G4" s="269"/>
      <c r="H4" s="145"/>
      <c r="I4" s="145"/>
      <c r="J4" s="145"/>
    </row>
    <row r="5" spans="1:10" ht="20.45" customHeight="1" x14ac:dyDescent="0.25">
      <c r="A5" s="270">
        <v>46204</v>
      </c>
      <c r="B5" s="270"/>
      <c r="C5" s="270"/>
      <c r="D5" s="270"/>
      <c r="E5" s="270"/>
      <c r="F5" s="270"/>
      <c r="G5" s="270"/>
      <c r="H5" s="146"/>
      <c r="I5" s="146"/>
      <c r="J5" s="146"/>
    </row>
    <row r="18" spans="1:8" ht="15.75" x14ac:dyDescent="0.25">
      <c r="A18" s="265" t="s">
        <v>66</v>
      </c>
      <c r="B18" s="266"/>
      <c r="C18" s="266"/>
      <c r="D18" s="332"/>
      <c r="E18" s="144" t="s">
        <v>27</v>
      </c>
      <c r="F18" s="144" t="s">
        <v>21</v>
      </c>
      <c r="G18" s="80" t="s">
        <v>24</v>
      </c>
      <c r="H18" s="80" t="s">
        <v>67</v>
      </c>
    </row>
    <row r="19" spans="1:8" ht="23.45" customHeight="1" x14ac:dyDescent="0.25">
      <c r="A19" s="81">
        <v>1</v>
      </c>
      <c r="B19" s="82" t="s">
        <v>122</v>
      </c>
      <c r="C19" s="83"/>
      <c r="D19" s="84"/>
      <c r="E19" s="140">
        <v>42</v>
      </c>
      <c r="F19" s="140">
        <v>42</v>
      </c>
      <c r="G19" s="126">
        <f>MIN(F19/E19,1)</f>
        <v>1</v>
      </c>
      <c r="H19" s="148">
        <f>IF(G19&lt;50%,0,IF(G19&lt;75%,100,IF(G19&lt;100%,150,200)))</f>
        <v>200</v>
      </c>
    </row>
    <row r="20" spans="1:8" ht="19.899999999999999" customHeight="1" x14ac:dyDescent="0.25">
      <c r="A20" s="106" t="s">
        <v>68</v>
      </c>
      <c r="B20" s="131"/>
      <c r="C20" s="131"/>
      <c r="D20" s="131"/>
      <c r="E20" s="144" t="s">
        <v>27</v>
      </c>
      <c r="F20" s="144" t="s">
        <v>21</v>
      </c>
      <c r="G20" s="80" t="s">
        <v>24</v>
      </c>
      <c r="H20" s="80" t="s">
        <v>67</v>
      </c>
    </row>
    <row r="21" spans="1:8" ht="22.9" customHeight="1" x14ac:dyDescent="0.25">
      <c r="A21" s="140">
        <v>1</v>
      </c>
      <c r="B21" s="141" t="s">
        <v>122</v>
      </c>
      <c r="C21" s="142"/>
      <c r="D21" s="143"/>
      <c r="E21" s="126">
        <v>1</v>
      </c>
      <c r="F21" s="126">
        <v>1</v>
      </c>
      <c r="G21" s="126">
        <f>MIN(F21/E21,1)</f>
        <v>1</v>
      </c>
      <c r="H21" s="149">
        <f>IF(G21=100%,150,0)</f>
        <v>150</v>
      </c>
    </row>
    <row r="25" spans="1:8" ht="15.75" x14ac:dyDescent="0.25">
      <c r="A25" s="144" t="s">
        <v>14</v>
      </c>
      <c r="B25" s="326" t="s">
        <v>72</v>
      </c>
      <c r="C25" s="326"/>
      <c r="D25" s="326"/>
      <c r="E25" s="326"/>
      <c r="F25" s="326"/>
      <c r="G25" s="327" t="s">
        <v>71</v>
      </c>
      <c r="H25" s="327"/>
    </row>
    <row r="26" spans="1:8" ht="31.15" customHeight="1" x14ac:dyDescent="0.25">
      <c r="A26" s="152">
        <v>1</v>
      </c>
      <c r="B26" s="329" t="s">
        <v>122</v>
      </c>
      <c r="C26" s="330"/>
      <c r="D26" s="330"/>
      <c r="E26" s="330"/>
      <c r="F26" s="331"/>
      <c r="G26" s="328">
        <f>H19+H21</f>
        <v>350</v>
      </c>
      <c r="H26" s="274"/>
    </row>
  </sheetData>
  <mergeCells count="7">
    <mergeCell ref="B25:F25"/>
    <mergeCell ref="G25:H25"/>
    <mergeCell ref="G26:H26"/>
    <mergeCell ref="B26:F26"/>
    <mergeCell ref="A4:G4"/>
    <mergeCell ref="A5:G5"/>
    <mergeCell ref="A18:D18"/>
  </mergeCells>
  <pageMargins left="0.7" right="0.7" top="0.75" bottom="0.75" header="0.3" footer="0.3"/>
  <pageSetup scale="77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BC41-A22D-4553-BB77-29D3895BE6C9}">
  <sheetPr>
    <tabColor rgb="FFFF0000"/>
  </sheetPr>
  <dimension ref="A2:P38"/>
  <sheetViews>
    <sheetView showGridLines="0" zoomScaleNormal="100" zoomScaleSheetLayoutView="100" workbookViewId="0">
      <selection activeCell="N14" sqref="N14"/>
    </sheetView>
  </sheetViews>
  <sheetFormatPr baseColWidth="10" defaultRowHeight="15" x14ac:dyDescent="0.25"/>
  <cols>
    <col min="5" max="5" width="12.5703125" customWidth="1"/>
    <col min="6" max="6" width="16" customWidth="1"/>
    <col min="7" max="7" width="21.85546875" customWidth="1"/>
    <col min="8" max="8" width="19.85546875" customWidth="1"/>
    <col min="9" max="9" width="16.85546875" customWidth="1"/>
    <col min="10" max="10" width="7.7109375" customWidth="1"/>
    <col min="11" max="11" width="18.28515625" customWidth="1"/>
    <col min="12" max="14" width="12.28515625" customWidth="1"/>
  </cols>
  <sheetData>
    <row r="2" spans="1:16" ht="20.45" customHeight="1" x14ac:dyDescent="0.4">
      <c r="A2" s="336" t="s">
        <v>69</v>
      </c>
      <c r="B2" s="336"/>
      <c r="C2" s="336"/>
      <c r="D2" s="336"/>
      <c r="E2" s="336"/>
      <c r="F2" s="336"/>
      <c r="G2" s="336"/>
      <c r="I2" s="336" t="s">
        <v>159</v>
      </c>
      <c r="J2" s="336"/>
      <c r="K2" s="336"/>
      <c r="L2" s="336"/>
      <c r="M2" s="336"/>
      <c r="N2" s="336"/>
    </row>
    <row r="3" spans="1:16" ht="20.45" customHeight="1" x14ac:dyDescent="0.25">
      <c r="A3" s="270">
        <v>46204</v>
      </c>
      <c r="B3" s="270"/>
      <c r="C3" s="270"/>
      <c r="D3" s="270"/>
      <c r="E3" s="270"/>
      <c r="F3" s="270"/>
      <c r="G3" s="270"/>
      <c r="I3" s="270">
        <v>46204</v>
      </c>
      <c r="J3" s="270"/>
      <c r="K3" s="270"/>
      <c r="L3" s="270"/>
      <c r="M3" s="270"/>
      <c r="N3" s="270"/>
    </row>
    <row r="4" spans="1:16" ht="15.75" thickBot="1" x14ac:dyDescent="0.3"/>
    <row r="5" spans="1:16" ht="24.75" thickBot="1" x14ac:dyDescent="0.3">
      <c r="I5" s="242" t="s">
        <v>143</v>
      </c>
      <c r="J5" s="243" t="s">
        <v>1</v>
      </c>
      <c r="K5" s="243" t="s">
        <v>144</v>
      </c>
      <c r="L5" s="243" t="s">
        <v>145</v>
      </c>
      <c r="M5" s="243" t="s">
        <v>146</v>
      </c>
      <c r="N5" s="243" t="s">
        <v>147</v>
      </c>
    </row>
    <row r="6" spans="1:16" ht="24.75" thickBot="1" x14ac:dyDescent="0.3">
      <c r="I6" s="244" t="s">
        <v>157</v>
      </c>
      <c r="J6" s="245">
        <v>100</v>
      </c>
      <c r="K6" s="245" t="s">
        <v>158</v>
      </c>
      <c r="L6" s="245" t="s">
        <v>150</v>
      </c>
      <c r="M6" s="245" t="s">
        <v>151</v>
      </c>
      <c r="N6" s="245" t="s">
        <v>152</v>
      </c>
    </row>
    <row r="7" spans="1:16" ht="15.75" thickBot="1" x14ac:dyDescent="0.3">
      <c r="I7" s="246" t="s">
        <v>0</v>
      </c>
      <c r="J7" s="247">
        <v>100</v>
      </c>
      <c r="K7" s="248"/>
      <c r="L7" s="248"/>
      <c r="M7" s="248"/>
      <c r="N7" s="248"/>
    </row>
    <row r="11" spans="1:16" x14ac:dyDescent="0.25">
      <c r="H11" s="264" t="s">
        <v>140</v>
      </c>
      <c r="I11" s="263"/>
    </row>
    <row r="12" spans="1:16" ht="15.75" x14ac:dyDescent="0.25">
      <c r="A12" s="337" t="s">
        <v>156</v>
      </c>
      <c r="B12" s="337"/>
      <c r="H12" s="239">
        <f>+SUM(F14+F18+F22+F26+F30+F34+F38)</f>
        <v>29653</v>
      </c>
      <c r="I12" s="263"/>
    </row>
    <row r="13" spans="1:16" ht="21.6" customHeight="1" x14ac:dyDescent="0.25">
      <c r="A13" s="106" t="s">
        <v>70</v>
      </c>
      <c r="B13" s="131"/>
      <c r="C13" s="131"/>
      <c r="D13" s="131"/>
      <c r="E13" s="147" t="s">
        <v>27</v>
      </c>
      <c r="F13" s="147" t="s">
        <v>21</v>
      </c>
      <c r="G13" s="147" t="s">
        <v>24</v>
      </c>
      <c r="H13" s="151" t="s">
        <v>67</v>
      </c>
      <c r="I13" s="237" t="s">
        <v>70</v>
      </c>
      <c r="J13" s="238"/>
      <c r="K13" s="238"/>
      <c r="L13" s="238"/>
      <c r="M13" s="240" t="s">
        <v>27</v>
      </c>
      <c r="N13" s="240" t="s">
        <v>21</v>
      </c>
      <c r="O13" s="240" t="s">
        <v>24</v>
      </c>
      <c r="P13" s="241" t="s">
        <v>160</v>
      </c>
    </row>
    <row r="14" spans="1:16" ht="21.6" customHeight="1" x14ac:dyDescent="0.25">
      <c r="A14" s="140">
        <v>1</v>
      </c>
      <c r="B14" s="333" t="s">
        <v>101</v>
      </c>
      <c r="C14" s="334"/>
      <c r="D14" s="335"/>
      <c r="E14" s="150">
        <v>4000</v>
      </c>
      <c r="F14" s="150">
        <v>4706</v>
      </c>
      <c r="G14" s="126">
        <f>MIN(F14/E14,1)</f>
        <v>1</v>
      </c>
      <c r="H14" s="149">
        <f>IF(G14=100%,150,0)</f>
        <v>150</v>
      </c>
      <c r="I14" s="140">
        <v>1</v>
      </c>
      <c r="J14" s="333" t="s">
        <v>101</v>
      </c>
      <c r="K14" s="334"/>
      <c r="L14" s="335"/>
      <c r="M14" s="150">
        <v>28000</v>
      </c>
      <c r="N14" s="150">
        <v>29653</v>
      </c>
      <c r="O14" s="126">
        <f>MIN(N14/M14,1)</f>
        <v>1</v>
      </c>
      <c r="P14" s="149" t="str">
        <f>+_xlfn.IFS(O14&gt;=95%,"300",O14&gt;=90%,"250",O14&gt;=85%,200,O14&lt;84%,"0")</f>
        <v>300</v>
      </c>
    </row>
    <row r="17" spans="1:11" ht="15.75" x14ac:dyDescent="0.25">
      <c r="A17" s="106" t="s">
        <v>95</v>
      </c>
      <c r="B17" s="131"/>
      <c r="C17" s="131"/>
      <c r="D17" s="131"/>
      <c r="E17" s="147" t="s">
        <v>27</v>
      </c>
      <c r="F17" s="147" t="s">
        <v>21</v>
      </c>
      <c r="G17" s="147" t="s">
        <v>24</v>
      </c>
      <c r="H17" s="151" t="s">
        <v>67</v>
      </c>
    </row>
    <row r="18" spans="1:11" x14ac:dyDescent="0.25">
      <c r="A18" s="140">
        <v>2</v>
      </c>
      <c r="B18" s="333" t="s">
        <v>102</v>
      </c>
      <c r="C18" s="334"/>
      <c r="D18" s="335"/>
      <c r="E18" s="150">
        <v>4000</v>
      </c>
      <c r="F18" s="150">
        <v>4510</v>
      </c>
      <c r="G18" s="126">
        <f>MIN(F18/E18,1)</f>
        <v>1</v>
      </c>
      <c r="H18" s="149">
        <f>IF(G18=100%,150,0)</f>
        <v>150</v>
      </c>
    </row>
    <row r="21" spans="1:11" ht="15.75" x14ac:dyDescent="0.25">
      <c r="A21" s="106" t="s">
        <v>96</v>
      </c>
      <c r="B21" s="131"/>
      <c r="C21" s="131"/>
      <c r="D21" s="131"/>
      <c r="E21" s="147" t="s">
        <v>27</v>
      </c>
      <c r="F21" s="147" t="s">
        <v>21</v>
      </c>
      <c r="G21" s="147" t="s">
        <v>24</v>
      </c>
      <c r="H21" s="151" t="s">
        <v>67</v>
      </c>
    </row>
    <row r="22" spans="1:11" x14ac:dyDescent="0.25">
      <c r="A22" s="140">
        <v>3</v>
      </c>
      <c r="B22" s="333" t="s">
        <v>103</v>
      </c>
      <c r="C22" s="334"/>
      <c r="D22" s="335"/>
      <c r="E22" s="150">
        <v>4000</v>
      </c>
      <c r="F22" s="150">
        <v>4925</v>
      </c>
      <c r="G22" s="126">
        <f>MIN(F22/E22,1)</f>
        <v>1</v>
      </c>
      <c r="H22" s="149">
        <f>IF(G22=100%,150,0)</f>
        <v>150</v>
      </c>
    </row>
    <row r="23" spans="1:11" x14ac:dyDescent="0.25">
      <c r="K23" s="1"/>
    </row>
    <row r="24" spans="1:11" x14ac:dyDescent="0.25">
      <c r="K24" s="1"/>
    </row>
    <row r="25" spans="1:11" ht="15.75" x14ac:dyDescent="0.25">
      <c r="A25" s="106" t="s">
        <v>97</v>
      </c>
      <c r="B25" s="131"/>
      <c r="C25" s="131"/>
      <c r="D25" s="131"/>
      <c r="E25" s="147" t="s">
        <v>27</v>
      </c>
      <c r="F25" s="147" t="s">
        <v>21</v>
      </c>
      <c r="G25" s="147" t="s">
        <v>24</v>
      </c>
      <c r="H25" s="151" t="s">
        <v>67</v>
      </c>
      <c r="K25" s="1"/>
    </row>
    <row r="26" spans="1:11" x14ac:dyDescent="0.25">
      <c r="A26" s="140">
        <v>4</v>
      </c>
      <c r="B26" s="333" t="s">
        <v>104</v>
      </c>
      <c r="C26" s="334"/>
      <c r="D26" s="335"/>
      <c r="E26" s="150">
        <v>4000</v>
      </c>
      <c r="F26" s="150">
        <v>4941</v>
      </c>
      <c r="G26" s="126">
        <f>MIN(F26/E26,1)</f>
        <v>1</v>
      </c>
      <c r="H26" s="149">
        <f>IF(G26=100%,150,0)</f>
        <v>150</v>
      </c>
      <c r="K26" s="1"/>
    </row>
    <row r="27" spans="1:11" x14ac:dyDescent="0.25">
      <c r="K27" s="1"/>
    </row>
    <row r="28" spans="1:11" x14ac:dyDescent="0.25">
      <c r="K28" s="1"/>
    </row>
    <row r="29" spans="1:11" ht="15.75" x14ac:dyDescent="0.25">
      <c r="A29" s="106" t="s">
        <v>98</v>
      </c>
      <c r="B29" s="131"/>
      <c r="C29" s="131"/>
      <c r="D29" s="131"/>
      <c r="E29" s="147" t="s">
        <v>27</v>
      </c>
      <c r="F29" s="147" t="s">
        <v>21</v>
      </c>
      <c r="G29" s="147" t="s">
        <v>24</v>
      </c>
      <c r="H29" s="151" t="s">
        <v>67</v>
      </c>
    </row>
    <row r="30" spans="1:11" x14ac:dyDescent="0.25">
      <c r="A30" s="140">
        <v>5</v>
      </c>
      <c r="B30" s="333" t="s">
        <v>105</v>
      </c>
      <c r="C30" s="334"/>
      <c r="D30" s="335"/>
      <c r="E30" s="150">
        <v>4000</v>
      </c>
      <c r="F30" s="150">
        <v>803</v>
      </c>
      <c r="G30" s="126">
        <f>MIN(F30/E30,1)</f>
        <v>0.20075000000000001</v>
      </c>
      <c r="H30" s="149">
        <f>IF(G30=100%,150,0)</f>
        <v>0</v>
      </c>
    </row>
    <row r="33" spans="1:8" ht="15.75" x14ac:dyDescent="0.25">
      <c r="A33" s="106" t="s">
        <v>99</v>
      </c>
      <c r="B33" s="131"/>
      <c r="C33" s="131"/>
      <c r="D33" s="131"/>
      <c r="E33" s="147" t="s">
        <v>27</v>
      </c>
      <c r="F33" s="147" t="s">
        <v>21</v>
      </c>
      <c r="G33" s="147" t="s">
        <v>24</v>
      </c>
      <c r="H33" s="151" t="s">
        <v>67</v>
      </c>
    </row>
    <row r="34" spans="1:8" x14ac:dyDescent="0.25">
      <c r="A34" s="140">
        <v>6</v>
      </c>
      <c r="B34" s="333" t="s">
        <v>106</v>
      </c>
      <c r="C34" s="334"/>
      <c r="D34" s="335"/>
      <c r="E34" s="150">
        <v>4000</v>
      </c>
      <c r="F34" s="150">
        <v>5355</v>
      </c>
      <c r="G34" s="126">
        <f>MIN(F34/E34,1)</f>
        <v>1</v>
      </c>
      <c r="H34" s="149">
        <f>IF(G34=100%,150,0)</f>
        <v>150</v>
      </c>
    </row>
    <row r="37" spans="1:8" ht="15.75" x14ac:dyDescent="0.25">
      <c r="A37" s="193" t="s">
        <v>107</v>
      </c>
      <c r="B37" s="194"/>
      <c r="C37" s="194"/>
      <c r="D37" s="194"/>
      <c r="E37" s="195" t="s">
        <v>27</v>
      </c>
      <c r="F37" s="195" t="s">
        <v>21</v>
      </c>
      <c r="G37" s="195" t="s">
        <v>24</v>
      </c>
      <c r="H37" s="196" t="s">
        <v>67</v>
      </c>
    </row>
    <row r="38" spans="1:8" x14ac:dyDescent="0.25">
      <c r="A38" s="140">
        <v>7</v>
      </c>
      <c r="B38" s="333" t="s">
        <v>108</v>
      </c>
      <c r="C38" s="334"/>
      <c r="D38" s="335"/>
      <c r="E38" s="150">
        <v>4000</v>
      </c>
      <c r="F38" s="150">
        <v>4413</v>
      </c>
      <c r="G38" s="126">
        <f>MIN(F38/E38,1)</f>
        <v>1</v>
      </c>
      <c r="H38" s="149">
        <f>IF(G38=100%,150,0)</f>
        <v>150</v>
      </c>
    </row>
  </sheetData>
  <mergeCells count="13">
    <mergeCell ref="J14:L14"/>
    <mergeCell ref="I2:N2"/>
    <mergeCell ref="I3:N3"/>
    <mergeCell ref="B38:D38"/>
    <mergeCell ref="B26:D26"/>
    <mergeCell ref="B30:D30"/>
    <mergeCell ref="B34:D34"/>
    <mergeCell ref="A12:B12"/>
    <mergeCell ref="A2:G2"/>
    <mergeCell ref="A3:G3"/>
    <mergeCell ref="B14:D14"/>
    <mergeCell ref="B18:D18"/>
    <mergeCell ref="B22:D22"/>
  </mergeCells>
  <conditionalFormatting sqref="H14">
    <cfRule type="cellIs" dxfId="17" priority="19" operator="equal">
      <formula>150</formula>
    </cfRule>
    <cfRule type="cellIs" dxfId="16" priority="20" operator="greaterThan">
      <formula>150</formula>
    </cfRule>
  </conditionalFormatting>
  <conditionalFormatting sqref="H18">
    <cfRule type="cellIs" dxfId="15" priority="17" operator="equal">
      <formula>150</formula>
    </cfRule>
    <cfRule type="cellIs" dxfId="14" priority="18" operator="greaterThan">
      <formula>150</formula>
    </cfRule>
  </conditionalFormatting>
  <conditionalFormatting sqref="H22">
    <cfRule type="cellIs" dxfId="13" priority="15" operator="equal">
      <formula>150</formula>
    </cfRule>
    <cfRule type="cellIs" dxfId="12" priority="16" operator="greaterThan">
      <formula>150</formula>
    </cfRule>
  </conditionalFormatting>
  <conditionalFormatting sqref="H26">
    <cfRule type="cellIs" dxfId="11" priority="13" operator="equal">
      <formula>150</formula>
    </cfRule>
    <cfRule type="cellIs" dxfId="10" priority="14" operator="greaterThan">
      <formula>150</formula>
    </cfRule>
  </conditionalFormatting>
  <conditionalFormatting sqref="H30">
    <cfRule type="cellIs" dxfId="9" priority="11" operator="equal">
      <formula>150</formula>
    </cfRule>
    <cfRule type="cellIs" dxfId="8" priority="12" operator="greaterThan">
      <formula>150</formula>
    </cfRule>
  </conditionalFormatting>
  <conditionalFormatting sqref="H34">
    <cfRule type="cellIs" dxfId="7" priority="9" operator="equal">
      <formula>150</formula>
    </cfRule>
    <cfRule type="cellIs" dxfId="6" priority="10" operator="greaterThan">
      <formula>150</formula>
    </cfRule>
  </conditionalFormatting>
  <conditionalFormatting sqref="H38">
    <cfRule type="cellIs" dxfId="5" priority="7" operator="equal">
      <formula>150</formula>
    </cfRule>
    <cfRule type="cellIs" dxfId="4" priority="8" operator="greaterThan">
      <formula>150</formula>
    </cfRule>
  </conditionalFormatting>
  <conditionalFormatting sqref="H12">
    <cfRule type="cellIs" dxfId="3" priority="3" operator="lessThan">
      <formula>27999</formula>
    </cfRule>
    <cfRule type="cellIs" dxfId="2" priority="4" operator="greaterThan">
      <formula>28000</formula>
    </cfRule>
  </conditionalFormatting>
  <conditionalFormatting sqref="P14">
    <cfRule type="cellIs" dxfId="1" priority="1" operator="equal">
      <formula>150</formula>
    </cfRule>
    <cfRule type="cellIs" dxfId="0" priority="2" operator="greaterThan">
      <formula>150</formula>
    </cfRule>
  </conditionalFormatting>
  <pageMargins left="0.7" right="0.7" top="0.75" bottom="0.75" header="0.3" footer="0.3"/>
  <pageSetup scale="77" orientation="portrait" horizontalDpi="0" verticalDpi="0" r:id="rId1"/>
  <colBreaks count="1" manualBreakCount="1">
    <brk id="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9234-A495-4796-9B28-3648B05B3431}">
  <sheetPr>
    <tabColor rgb="FF92D050"/>
  </sheetPr>
  <dimension ref="A1:K39"/>
  <sheetViews>
    <sheetView showGridLines="0" view="pageBreakPreview" zoomScale="110" zoomScaleNormal="110" zoomScaleSheetLayoutView="110" workbookViewId="0">
      <selection activeCell="B3" sqref="B3"/>
    </sheetView>
  </sheetViews>
  <sheetFormatPr baseColWidth="10" defaultColWidth="11.5703125" defaultRowHeight="12.75" x14ac:dyDescent="0.2"/>
  <cols>
    <col min="1" max="1" width="4.7109375" style="156" customWidth="1"/>
    <col min="2" max="2" width="5.85546875" style="156" customWidth="1"/>
    <col min="3" max="3" width="17.85546875" style="156" customWidth="1"/>
    <col min="4" max="5" width="11.5703125" style="156"/>
    <col min="6" max="6" width="29.140625" style="156" customWidth="1"/>
    <col min="7" max="7" width="14.28515625" style="156" customWidth="1"/>
    <col min="8" max="16384" width="11.5703125" style="156"/>
  </cols>
  <sheetData>
    <row r="1" spans="1:11" x14ac:dyDescent="0.2">
      <c r="A1" s="154"/>
      <c r="B1" s="339" t="s">
        <v>25</v>
      </c>
      <c r="C1" s="339"/>
      <c r="D1" s="339"/>
      <c r="E1" s="339"/>
      <c r="F1" s="339"/>
      <c r="G1" s="339"/>
      <c r="H1" s="339"/>
      <c r="I1" s="339"/>
      <c r="J1" s="154"/>
      <c r="K1" s="155"/>
    </row>
    <row r="2" spans="1:11" x14ac:dyDescent="0.2">
      <c r="A2" s="154"/>
      <c r="B2" s="340">
        <v>46204</v>
      </c>
      <c r="C2" s="341"/>
      <c r="D2" s="341"/>
      <c r="E2" s="341"/>
      <c r="F2" s="341"/>
      <c r="G2" s="341"/>
      <c r="H2" s="341"/>
      <c r="I2" s="341"/>
      <c r="J2" s="154"/>
      <c r="K2" s="155"/>
    </row>
    <row r="3" spans="1:11" x14ac:dyDescent="0.2">
      <c r="A3" s="155"/>
      <c r="C3" s="157"/>
      <c r="D3" s="157"/>
      <c r="E3" s="157"/>
      <c r="F3" s="157"/>
      <c r="G3" s="158"/>
      <c r="H3" s="159"/>
      <c r="I3" s="159"/>
      <c r="J3" s="155"/>
      <c r="K3" s="155"/>
    </row>
    <row r="4" spans="1:11" x14ac:dyDescent="0.2">
      <c r="A4" s="160"/>
      <c r="B4" s="161"/>
      <c r="C4" s="342" t="s">
        <v>7</v>
      </c>
      <c r="D4" s="343"/>
      <c r="E4" s="346" t="s">
        <v>1</v>
      </c>
      <c r="F4" s="346" t="s">
        <v>2</v>
      </c>
      <c r="G4" s="346" t="s">
        <v>20</v>
      </c>
      <c r="H4" s="346"/>
      <c r="I4" s="346"/>
      <c r="J4" s="162"/>
      <c r="K4" s="155"/>
    </row>
    <row r="5" spans="1:11" x14ac:dyDescent="0.2">
      <c r="A5" s="163"/>
      <c r="B5" s="161"/>
      <c r="C5" s="344"/>
      <c r="D5" s="345"/>
      <c r="E5" s="346"/>
      <c r="F5" s="346"/>
      <c r="G5" s="164" t="s">
        <v>9</v>
      </c>
      <c r="H5" s="164" t="s">
        <v>10</v>
      </c>
      <c r="I5" s="164" t="s">
        <v>13</v>
      </c>
      <c r="J5" s="163"/>
      <c r="K5" s="155"/>
    </row>
    <row r="6" spans="1:11" ht="27" customHeight="1" x14ac:dyDescent="0.2">
      <c r="A6" s="155"/>
      <c r="B6" s="161"/>
      <c r="C6" s="353" t="s">
        <v>54</v>
      </c>
      <c r="D6" s="354"/>
      <c r="E6" s="165">
        <v>35</v>
      </c>
      <c r="F6" s="166" t="s">
        <v>78</v>
      </c>
      <c r="G6" s="347" t="s">
        <v>12</v>
      </c>
      <c r="H6" s="347" t="s">
        <v>26</v>
      </c>
      <c r="I6" s="347" t="s">
        <v>31</v>
      </c>
      <c r="J6" s="155"/>
      <c r="K6" s="155"/>
    </row>
    <row r="7" spans="1:11" ht="25.5" x14ac:dyDescent="0.2">
      <c r="A7" s="167"/>
      <c r="B7" s="161"/>
      <c r="C7" s="353" t="s">
        <v>73</v>
      </c>
      <c r="D7" s="354"/>
      <c r="E7" s="165">
        <v>35</v>
      </c>
      <c r="F7" s="168" t="s">
        <v>74</v>
      </c>
      <c r="G7" s="348"/>
      <c r="H7" s="348"/>
      <c r="I7" s="348"/>
      <c r="J7" s="169"/>
      <c r="K7" s="155"/>
    </row>
    <row r="8" spans="1:11" ht="20.45" customHeight="1" x14ac:dyDescent="0.2">
      <c r="A8" s="155"/>
      <c r="B8" s="161"/>
      <c r="C8" s="353" t="s">
        <v>75</v>
      </c>
      <c r="D8" s="354"/>
      <c r="E8" s="165">
        <v>20</v>
      </c>
      <c r="F8" s="213" t="s">
        <v>76</v>
      </c>
      <c r="G8" s="348"/>
      <c r="H8" s="348"/>
      <c r="I8" s="348"/>
      <c r="J8" s="155"/>
      <c r="K8" s="155"/>
    </row>
    <row r="9" spans="1:11" ht="31.9" customHeight="1" x14ac:dyDescent="0.2">
      <c r="A9" s="155"/>
      <c r="B9" s="161"/>
      <c r="C9" s="355" t="s">
        <v>62</v>
      </c>
      <c r="D9" s="354"/>
      <c r="E9" s="165">
        <v>10</v>
      </c>
      <c r="F9" s="166" t="s">
        <v>77</v>
      </c>
      <c r="G9" s="349"/>
      <c r="H9" s="349"/>
      <c r="I9" s="349"/>
      <c r="J9" s="155"/>
      <c r="K9" s="155"/>
    </row>
    <row r="10" spans="1:11" x14ac:dyDescent="0.2">
      <c r="A10" s="155"/>
      <c r="B10" s="161"/>
      <c r="C10" s="350" t="s">
        <v>0</v>
      </c>
      <c r="D10" s="351"/>
      <c r="E10" s="170">
        <f>SUM(E6:E9)</f>
        <v>100</v>
      </c>
      <c r="F10" s="171"/>
      <c r="G10" s="172" t="s">
        <v>12</v>
      </c>
      <c r="H10" s="172" t="s">
        <v>26</v>
      </c>
      <c r="I10" s="172" t="s">
        <v>31</v>
      </c>
      <c r="J10" s="155"/>
      <c r="K10" s="155"/>
    </row>
    <row r="11" spans="1:11" x14ac:dyDescent="0.2">
      <c r="A11" s="155"/>
      <c r="B11" s="161"/>
      <c r="J11" s="155"/>
      <c r="K11" s="155"/>
    </row>
    <row r="12" spans="1:11" x14ac:dyDescent="0.2">
      <c r="A12" s="173"/>
      <c r="B12" s="161"/>
      <c r="J12" s="155"/>
      <c r="K12" s="155"/>
    </row>
    <row r="13" spans="1:11" x14ac:dyDescent="0.2">
      <c r="A13" s="173"/>
      <c r="B13" s="161"/>
      <c r="C13" s="174"/>
      <c r="D13" s="175"/>
      <c r="E13" s="175"/>
      <c r="F13" s="175"/>
      <c r="G13" s="175"/>
      <c r="H13" s="175"/>
      <c r="I13" s="175"/>
      <c r="J13" s="155"/>
      <c r="K13" s="155"/>
    </row>
    <row r="14" spans="1:11" x14ac:dyDescent="0.2">
      <c r="A14" s="173"/>
      <c r="B14" s="176"/>
      <c r="C14" s="177"/>
      <c r="D14" s="176"/>
      <c r="E14" s="176"/>
      <c r="F14" s="176"/>
      <c r="G14" s="176"/>
      <c r="H14" s="176"/>
      <c r="I14" s="176"/>
      <c r="J14" s="155"/>
      <c r="K14" s="155"/>
    </row>
    <row r="15" spans="1:11" x14ac:dyDescent="0.2">
      <c r="A15" s="173"/>
      <c r="B15" s="176"/>
      <c r="C15" s="177"/>
      <c r="D15" s="176"/>
      <c r="E15" s="176"/>
      <c r="F15" s="176"/>
      <c r="G15" s="176"/>
      <c r="H15" s="176"/>
      <c r="I15" s="176"/>
      <c r="J15" s="155"/>
      <c r="K15" s="155"/>
    </row>
    <row r="16" spans="1:11" x14ac:dyDescent="0.2">
      <c r="A16" s="173"/>
      <c r="B16" s="176"/>
      <c r="G16" s="178"/>
      <c r="J16" s="155"/>
      <c r="K16" s="155"/>
    </row>
    <row r="17" spans="1:11" x14ac:dyDescent="0.2">
      <c r="A17" s="173"/>
      <c r="B17" s="176"/>
      <c r="G17" s="178"/>
      <c r="J17" s="179"/>
      <c r="K17" s="155"/>
    </row>
    <row r="18" spans="1:11" x14ac:dyDescent="0.2">
      <c r="A18" s="179"/>
      <c r="B18" s="180" t="s">
        <v>79</v>
      </c>
      <c r="C18" s="180"/>
      <c r="D18" s="180"/>
      <c r="E18" s="180"/>
      <c r="F18" s="164" t="s">
        <v>27</v>
      </c>
      <c r="G18" s="164" t="s">
        <v>21</v>
      </c>
      <c r="H18" s="181" t="s">
        <v>24</v>
      </c>
      <c r="I18" s="181" t="s">
        <v>28</v>
      </c>
      <c r="J18" s="179"/>
      <c r="K18" s="155"/>
    </row>
    <row r="19" spans="1:11" x14ac:dyDescent="0.2">
      <c r="A19" s="155"/>
      <c r="B19" s="182">
        <v>1</v>
      </c>
      <c r="C19" s="352" t="s">
        <v>123</v>
      </c>
      <c r="D19" s="352"/>
      <c r="E19" s="352"/>
      <c r="F19" s="214">
        <v>17407</v>
      </c>
      <c r="G19" s="214">
        <v>18207</v>
      </c>
      <c r="H19" s="183">
        <f>MIN(G19/F19,1)</f>
        <v>1</v>
      </c>
      <c r="I19" s="183">
        <f>H19*0.35</f>
        <v>0.35</v>
      </c>
      <c r="J19" s="155"/>
      <c r="K19" s="155"/>
    </row>
    <row r="20" spans="1:11" x14ac:dyDescent="0.2">
      <c r="A20" s="155"/>
      <c r="B20" s="338" t="s">
        <v>81</v>
      </c>
      <c r="C20" s="338"/>
      <c r="D20" s="338"/>
      <c r="E20" s="338"/>
      <c r="F20" s="338"/>
      <c r="G20" s="338"/>
      <c r="H20" s="338"/>
      <c r="I20" s="338"/>
      <c r="J20" s="155"/>
      <c r="K20" s="155"/>
    </row>
    <row r="21" spans="1:11" s="226" customFormat="1" x14ac:dyDescent="0.2">
      <c r="A21" s="221"/>
      <c r="B21" s="222">
        <v>1</v>
      </c>
      <c r="C21" s="352" t="s">
        <v>123</v>
      </c>
      <c r="D21" s="352"/>
      <c r="E21" s="352"/>
      <c r="F21" s="225">
        <v>0.9</v>
      </c>
      <c r="G21" s="225">
        <v>0.95</v>
      </c>
      <c r="H21" s="224">
        <f>MIN(G21/F21,1)</f>
        <v>1</v>
      </c>
      <c r="I21" s="225">
        <f>H21*0.35</f>
        <v>0.35</v>
      </c>
      <c r="J21" s="221"/>
      <c r="K21" s="221"/>
    </row>
    <row r="22" spans="1:11" x14ac:dyDescent="0.2">
      <c r="A22" s="155"/>
      <c r="B22" s="338" t="s">
        <v>82</v>
      </c>
      <c r="C22" s="338"/>
      <c r="D22" s="338"/>
      <c r="E22" s="338"/>
      <c r="F22" s="338"/>
      <c r="G22" s="338"/>
      <c r="H22" s="338"/>
      <c r="I22" s="338"/>
      <c r="J22" s="155"/>
      <c r="K22" s="155"/>
    </row>
    <row r="23" spans="1:11" s="226" customFormat="1" x14ac:dyDescent="0.2">
      <c r="A23" s="221"/>
      <c r="B23" s="222">
        <v>1</v>
      </c>
      <c r="C23" s="352" t="s">
        <v>123</v>
      </c>
      <c r="D23" s="352"/>
      <c r="E23" s="352"/>
      <c r="F23" s="223">
        <v>400</v>
      </c>
      <c r="G23" s="223">
        <v>469</v>
      </c>
      <c r="H23" s="224">
        <f>MIN(G23/F23,1)</f>
        <v>1</v>
      </c>
      <c r="I23" s="225">
        <f>H23*0.2</f>
        <v>0.2</v>
      </c>
      <c r="J23" s="221"/>
      <c r="K23" s="221"/>
    </row>
    <row r="24" spans="1:11" x14ac:dyDescent="0.2">
      <c r="A24" s="155"/>
      <c r="B24" s="338" t="s">
        <v>63</v>
      </c>
      <c r="C24" s="338"/>
      <c r="D24" s="338"/>
      <c r="E24" s="338"/>
      <c r="F24" s="338"/>
      <c r="G24" s="338"/>
      <c r="H24" s="338"/>
      <c r="I24" s="338"/>
      <c r="J24" s="155"/>
      <c r="K24" s="155"/>
    </row>
    <row r="25" spans="1:11" s="226" customFormat="1" x14ac:dyDescent="0.2">
      <c r="A25" s="221"/>
      <c r="B25" s="222">
        <v>1</v>
      </c>
      <c r="C25" s="352" t="s">
        <v>123</v>
      </c>
      <c r="D25" s="352"/>
      <c r="E25" s="352"/>
      <c r="F25" s="227">
        <v>8</v>
      </c>
      <c r="G25" s="227">
        <v>5</v>
      </c>
      <c r="H25" s="224">
        <f>MIN(G25/F25,1)</f>
        <v>0.625</v>
      </c>
      <c r="I25" s="225">
        <f>H25*0.1</f>
        <v>6.25E-2</v>
      </c>
      <c r="J25" s="221"/>
      <c r="K25" s="221"/>
    </row>
    <row r="26" spans="1:11" x14ac:dyDescent="0.2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</row>
    <row r="27" spans="1:11" x14ac:dyDescent="0.2">
      <c r="A27" s="155"/>
      <c r="B27" s="188" t="s">
        <v>100</v>
      </c>
      <c r="C27" s="189"/>
      <c r="D27" s="189"/>
      <c r="E27" s="189"/>
      <c r="F27" s="190" t="s">
        <v>27</v>
      </c>
      <c r="G27" s="190" t="s">
        <v>21</v>
      </c>
      <c r="H27" s="190" t="s">
        <v>24</v>
      </c>
      <c r="I27" s="191" t="s">
        <v>67</v>
      </c>
      <c r="J27" s="155"/>
      <c r="K27" s="155"/>
    </row>
    <row r="28" spans="1:11" s="226" customFormat="1" x14ac:dyDescent="0.2">
      <c r="A28" s="221"/>
      <c r="B28" s="222">
        <v>1</v>
      </c>
      <c r="C28" s="352" t="s">
        <v>123</v>
      </c>
      <c r="D28" s="352"/>
      <c r="E28" s="352"/>
      <c r="F28" s="228">
        <v>28000</v>
      </c>
      <c r="G28" s="228">
        <v>29653</v>
      </c>
      <c r="H28" s="225">
        <f>MIN(G28/F28,1)</f>
        <v>1</v>
      </c>
      <c r="I28" s="229">
        <f>IF(H28&gt;=100%,400,0)</f>
        <v>400</v>
      </c>
      <c r="J28" s="221"/>
      <c r="K28" s="221"/>
    </row>
    <row r="29" spans="1:11" x14ac:dyDescent="0.2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</row>
    <row r="30" spans="1:11" x14ac:dyDescent="0.2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</row>
    <row r="31" spans="1:11" ht="25.5" x14ac:dyDescent="0.2">
      <c r="A31" s="155"/>
      <c r="B31" s="164" t="s">
        <v>14</v>
      </c>
      <c r="C31" s="356" t="s">
        <v>7</v>
      </c>
      <c r="D31" s="356"/>
      <c r="E31" s="356"/>
      <c r="F31" s="356"/>
      <c r="G31" s="356"/>
      <c r="H31" s="184" t="s">
        <v>24</v>
      </c>
      <c r="I31" s="185" t="s">
        <v>22</v>
      </c>
      <c r="J31" s="155"/>
      <c r="K31" s="155"/>
    </row>
    <row r="32" spans="1:11" x14ac:dyDescent="0.2">
      <c r="A32" s="155"/>
      <c r="B32" s="182">
        <v>1</v>
      </c>
      <c r="C32" s="352" t="s">
        <v>123</v>
      </c>
      <c r="D32" s="352"/>
      <c r="E32" s="352"/>
      <c r="F32" s="352"/>
      <c r="G32" s="352"/>
      <c r="H32" s="186">
        <f>I19+I21+I23+I25</f>
        <v>0.96249999999999991</v>
      </c>
      <c r="I32" s="192">
        <f>+_xlfn.IFS(H32&gt;=95%,"500",H32&gt;=90%,"350",H32&gt;=85%,200,H32&lt;84%,"0")+I28</f>
        <v>900</v>
      </c>
      <c r="J32" s="155"/>
      <c r="K32" s="155"/>
    </row>
    <row r="33" spans="1:11" x14ac:dyDescent="0.2">
      <c r="A33" s="155"/>
      <c r="B33" s="357" t="s">
        <v>22</v>
      </c>
      <c r="C33" s="357"/>
      <c r="D33" s="357"/>
      <c r="E33" s="357"/>
      <c r="F33" s="357"/>
      <c r="G33" s="357"/>
      <c r="H33" s="357"/>
      <c r="I33" s="187">
        <f>SUM(I32)</f>
        <v>900</v>
      </c>
      <c r="J33" s="155"/>
      <c r="K33" s="155"/>
    </row>
    <row r="34" spans="1:11" x14ac:dyDescent="0.2">
      <c r="A34" s="155"/>
      <c r="J34" s="155"/>
      <c r="K34" s="155"/>
    </row>
    <row r="35" spans="1:11" x14ac:dyDescent="0.2">
      <c r="A35" s="155"/>
      <c r="J35" s="155"/>
      <c r="K35" s="155"/>
    </row>
    <row r="36" spans="1:11" x14ac:dyDescent="0.2">
      <c r="A36" s="155"/>
      <c r="J36" s="155"/>
      <c r="K36" s="155"/>
    </row>
    <row r="37" spans="1:11" x14ac:dyDescent="0.2">
      <c r="A37" s="155"/>
      <c r="J37" s="155"/>
      <c r="K37" s="155"/>
    </row>
    <row r="38" spans="1:11" x14ac:dyDescent="0.2">
      <c r="A38" s="155"/>
      <c r="J38" s="155"/>
      <c r="K38" s="155"/>
    </row>
    <row r="39" spans="1:11" x14ac:dyDescent="0.2">
      <c r="A39" s="155"/>
      <c r="B39" s="155"/>
      <c r="C39" s="155"/>
      <c r="D39" s="155"/>
      <c r="E39" s="155"/>
      <c r="F39" s="155"/>
      <c r="G39" s="155"/>
      <c r="H39" s="155"/>
      <c r="I39" s="155"/>
      <c r="J39" s="155"/>
    </row>
  </sheetData>
  <mergeCells count="25">
    <mergeCell ref="C31:G31"/>
    <mergeCell ref="C32:G32"/>
    <mergeCell ref="B33:H33"/>
    <mergeCell ref="C21:E21"/>
    <mergeCell ref="B22:I22"/>
    <mergeCell ref="C23:E23"/>
    <mergeCell ref="B24:I24"/>
    <mergeCell ref="C25:E25"/>
    <mergeCell ref="C28:E28"/>
    <mergeCell ref="B20:I20"/>
    <mergeCell ref="B1:I1"/>
    <mergeCell ref="B2:I2"/>
    <mergeCell ref="C4:D5"/>
    <mergeCell ref="E4:E5"/>
    <mergeCell ref="F4:F5"/>
    <mergeCell ref="G4:I4"/>
    <mergeCell ref="G6:G9"/>
    <mergeCell ref="H6:H9"/>
    <mergeCell ref="I6:I9"/>
    <mergeCell ref="C10:D10"/>
    <mergeCell ref="C19:E19"/>
    <mergeCell ref="C8:D8"/>
    <mergeCell ref="C7:D7"/>
    <mergeCell ref="C6:D6"/>
    <mergeCell ref="C9:D9"/>
  </mergeCells>
  <pageMargins left="0.7" right="0.7" top="0.75" bottom="0.75" header="0.3" footer="0.3"/>
  <pageSetup paperSize="9" scale="6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E384-0F09-4867-AED4-50D13FBE343D}">
  <sheetPr>
    <tabColor rgb="FFFFC000"/>
  </sheetPr>
  <dimension ref="A1:Z36"/>
  <sheetViews>
    <sheetView showGridLines="0" view="pageBreakPreview" zoomScale="70" zoomScaleNormal="100" zoomScaleSheetLayoutView="70" workbookViewId="0">
      <selection activeCell="A3" sqref="A3"/>
    </sheetView>
  </sheetViews>
  <sheetFormatPr baseColWidth="10" defaultRowHeight="15" x14ac:dyDescent="0.25"/>
  <cols>
    <col min="4" max="5" width="14.140625" customWidth="1"/>
    <col min="6" max="6" width="14.28515625" customWidth="1"/>
    <col min="8" max="8" width="16" customWidth="1"/>
  </cols>
  <sheetData>
    <row r="1" spans="1:10" ht="22.5" x14ac:dyDescent="0.45">
      <c r="A1" s="362" t="s">
        <v>80</v>
      </c>
      <c r="B1" s="362"/>
      <c r="C1" s="362"/>
      <c r="D1" s="362"/>
      <c r="E1" s="362"/>
      <c r="F1" s="362"/>
      <c r="G1" s="362"/>
      <c r="H1" s="362"/>
      <c r="I1" s="362"/>
    </row>
    <row r="2" spans="1:10" ht="18" x14ac:dyDescent="0.25">
      <c r="A2" s="270">
        <v>46204</v>
      </c>
      <c r="B2" s="325"/>
      <c r="C2" s="325"/>
      <c r="D2" s="325"/>
      <c r="E2" s="325"/>
      <c r="F2" s="325"/>
      <c r="G2" s="325"/>
      <c r="H2" s="325"/>
      <c r="I2" s="153"/>
      <c r="J2" s="153"/>
    </row>
    <row r="24" spans="1:26" ht="15.75" x14ac:dyDescent="0.25">
      <c r="A24" s="265" t="s">
        <v>84</v>
      </c>
      <c r="B24" s="266"/>
      <c r="C24" s="266"/>
      <c r="D24" s="332"/>
      <c r="E24" s="144" t="s">
        <v>27</v>
      </c>
      <c r="F24" s="144" t="s">
        <v>21</v>
      </c>
      <c r="G24" s="80" t="s">
        <v>24</v>
      </c>
      <c r="H24" s="80" t="s">
        <v>67</v>
      </c>
      <c r="V24" s="361" t="s">
        <v>114</v>
      </c>
      <c r="W24" s="361"/>
      <c r="X24" s="361"/>
    </row>
    <row r="25" spans="1:26" x14ac:dyDescent="0.25">
      <c r="A25" s="81">
        <v>1</v>
      </c>
      <c r="B25" s="82" t="s">
        <v>83</v>
      </c>
      <c r="C25" s="83"/>
      <c r="D25" s="84"/>
      <c r="E25" s="85">
        <v>1</v>
      </c>
      <c r="F25" s="126">
        <v>1</v>
      </c>
      <c r="G25" s="126">
        <f>MIN(F25/E25,1)</f>
        <v>1</v>
      </c>
      <c r="H25" s="149">
        <f>_xlfn.IFS(G25&gt;=100%,400,G25&gt;=90%,300,G25&gt;=80%,200,G25&lt;79%,0)</f>
        <v>400</v>
      </c>
      <c r="V25" s="200" t="s">
        <v>115</v>
      </c>
      <c r="W25" s="200" t="s">
        <v>112</v>
      </c>
      <c r="X25" s="200" t="s">
        <v>113</v>
      </c>
      <c r="Y25" s="200" t="s">
        <v>24</v>
      </c>
      <c r="Z25" s="200" t="s">
        <v>24</v>
      </c>
    </row>
    <row r="26" spans="1:26" ht="15.75" x14ac:dyDescent="0.25">
      <c r="A26" s="358" t="s">
        <v>85</v>
      </c>
      <c r="B26" s="359"/>
      <c r="C26" s="359"/>
      <c r="D26" s="360"/>
      <c r="E26" s="144" t="s">
        <v>27</v>
      </c>
      <c r="F26" s="144" t="s">
        <v>21</v>
      </c>
      <c r="G26" s="80" t="s">
        <v>24</v>
      </c>
      <c r="H26" s="80" t="s">
        <v>67</v>
      </c>
      <c r="V26" s="204" t="s">
        <v>109</v>
      </c>
      <c r="W26" s="204">
        <v>1363200</v>
      </c>
      <c r="X26" s="204">
        <v>1212873.0157142859</v>
      </c>
      <c r="Y26" s="205">
        <f>+X26/W26*100</f>
        <v>88.972492349932935</v>
      </c>
      <c r="Z26" s="206">
        <f>+Y26*0.3333</f>
        <v>29.654531700232646</v>
      </c>
    </row>
    <row r="27" spans="1:26" x14ac:dyDescent="0.25">
      <c r="A27" s="140">
        <v>1</v>
      </c>
      <c r="B27" s="82" t="s">
        <v>83</v>
      </c>
      <c r="C27" s="142"/>
      <c r="D27" s="143"/>
      <c r="E27" s="126">
        <v>1</v>
      </c>
      <c r="F27" s="126">
        <v>0.9</v>
      </c>
      <c r="G27" s="126">
        <f>MIN(F27/E27,1)</f>
        <v>0.9</v>
      </c>
      <c r="H27" s="149">
        <f>_xlfn.IFS(G27&gt;=100%,350,G27&gt;=90%,250,G27&gt;=80%,200,G27&lt;79.9%,0)</f>
        <v>250</v>
      </c>
      <c r="V27" s="200" t="s">
        <v>110</v>
      </c>
      <c r="W27" s="200">
        <v>16</v>
      </c>
      <c r="X27" s="200">
        <v>16</v>
      </c>
      <c r="Y27" s="201">
        <f>+X27/W27*100</f>
        <v>100</v>
      </c>
      <c r="Z27" s="202">
        <f t="shared" ref="Z27:Z28" si="0">+Y27*0.3333</f>
        <v>33.33</v>
      </c>
    </row>
    <row r="28" spans="1:26" ht="15.75" x14ac:dyDescent="0.25">
      <c r="A28" s="358" t="s">
        <v>86</v>
      </c>
      <c r="B28" s="359"/>
      <c r="C28" s="359"/>
      <c r="D28" s="360"/>
      <c r="E28" s="144" t="s">
        <v>27</v>
      </c>
      <c r="F28" s="144" t="s">
        <v>21</v>
      </c>
      <c r="G28" s="80" t="s">
        <v>24</v>
      </c>
      <c r="H28" s="80" t="s">
        <v>67</v>
      </c>
      <c r="V28" s="200" t="s">
        <v>111</v>
      </c>
      <c r="W28" s="203">
        <v>28000</v>
      </c>
      <c r="X28" s="200">
        <v>29678</v>
      </c>
      <c r="Y28" s="201">
        <f>+X28/W28*100</f>
        <v>105.99285714285713</v>
      </c>
      <c r="Z28" s="202">
        <f t="shared" si="0"/>
        <v>35.327419285714278</v>
      </c>
    </row>
    <row r="29" spans="1:26" x14ac:dyDescent="0.25">
      <c r="A29" s="140">
        <v>1</v>
      </c>
      <c r="B29" s="82" t="s">
        <v>83</v>
      </c>
      <c r="C29" s="142"/>
      <c r="D29" s="143"/>
      <c r="E29" s="126">
        <v>1</v>
      </c>
      <c r="F29" s="126">
        <v>1</v>
      </c>
      <c r="G29" s="126">
        <f>MIN(F29/E29,1)</f>
        <v>1</v>
      </c>
      <c r="H29" s="149">
        <f>_xlfn.IFS(G29&gt;=100%,350,G29&gt;=90%,250,G29&gt;=80%,200,G29&lt;79%,0)</f>
        <v>350</v>
      </c>
      <c r="V29" s="200"/>
      <c r="W29" s="200"/>
      <c r="X29" s="200"/>
      <c r="Y29" s="201"/>
      <c r="Z29" s="202">
        <f>+SUM(Z26:Z28)</f>
        <v>98.311950985946922</v>
      </c>
    </row>
    <row r="30" spans="1:26" ht="15.75" x14ac:dyDescent="0.25">
      <c r="A30" s="265" t="s">
        <v>87</v>
      </c>
      <c r="B30" s="266"/>
      <c r="C30" s="266"/>
      <c r="D30" s="332"/>
      <c r="E30" s="144" t="s">
        <v>27</v>
      </c>
      <c r="F30" s="144" t="s">
        <v>21</v>
      </c>
      <c r="G30" s="80" t="s">
        <v>24</v>
      </c>
      <c r="H30" s="80" t="s">
        <v>67</v>
      </c>
    </row>
    <row r="31" spans="1:26" x14ac:dyDescent="0.25">
      <c r="A31" s="81">
        <v>1</v>
      </c>
      <c r="B31" s="82" t="s">
        <v>83</v>
      </c>
      <c r="C31" s="83"/>
      <c r="D31" s="84"/>
      <c r="E31" s="85">
        <v>1</v>
      </c>
      <c r="F31" s="126">
        <v>0.98</v>
      </c>
      <c r="G31" s="126">
        <f>MIN(F31/E31,1)</f>
        <v>0.98</v>
      </c>
      <c r="H31" s="149">
        <f>_xlfn.IFS(G31&gt;=100%,400,G31&gt;=90%,300,G31&gt;=80%,200,G31&lt;79%,0)</f>
        <v>300</v>
      </c>
    </row>
    <row r="35" spans="1:8" ht="15.75" x14ac:dyDescent="0.25">
      <c r="A35" s="144" t="s">
        <v>14</v>
      </c>
      <c r="B35" s="326" t="s">
        <v>88</v>
      </c>
      <c r="C35" s="326"/>
      <c r="D35" s="326"/>
      <c r="E35" s="326"/>
      <c r="F35" s="326"/>
      <c r="G35" s="327" t="s">
        <v>71</v>
      </c>
      <c r="H35" s="327"/>
    </row>
    <row r="36" spans="1:8" x14ac:dyDescent="0.25">
      <c r="A36" s="152">
        <v>1</v>
      </c>
      <c r="B36" s="329" t="s">
        <v>83</v>
      </c>
      <c r="C36" s="330"/>
      <c r="D36" s="330"/>
      <c r="E36" s="330"/>
      <c r="F36" s="331"/>
      <c r="G36" s="328">
        <f>H25+H27+H29+H31</f>
        <v>1300</v>
      </c>
      <c r="H36" s="274"/>
    </row>
  </sheetData>
  <mergeCells count="11">
    <mergeCell ref="V24:X24"/>
    <mergeCell ref="A1:I1"/>
    <mergeCell ref="A2:H2"/>
    <mergeCell ref="A24:D24"/>
    <mergeCell ref="A26:D26"/>
    <mergeCell ref="A28:D28"/>
    <mergeCell ref="A30:D30"/>
    <mergeCell ref="B35:F35"/>
    <mergeCell ref="G35:H35"/>
    <mergeCell ref="B36:F36"/>
    <mergeCell ref="G36:H36"/>
  </mergeCells>
  <pageMargins left="0.7" right="0.7" top="0.75" bottom="0.75" header="0.3" footer="0.3"/>
  <pageSetup scale="86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997F-D44B-4DA8-A2E0-28D9AB0B889E}">
  <sheetPr>
    <tabColor rgb="FF0070C0"/>
  </sheetPr>
  <dimension ref="A1:AB29"/>
  <sheetViews>
    <sheetView showGridLines="0" view="pageBreakPreview" zoomScaleNormal="100" zoomScaleSheetLayoutView="100" workbookViewId="0">
      <selection activeCell="A3" sqref="A3"/>
    </sheetView>
  </sheetViews>
  <sheetFormatPr baseColWidth="10" defaultRowHeight="15" x14ac:dyDescent="0.25"/>
  <cols>
    <col min="4" max="5" width="14.140625" customWidth="1"/>
    <col min="6" max="6" width="14.28515625" customWidth="1"/>
    <col min="8" max="8" width="16" customWidth="1"/>
  </cols>
  <sheetData>
    <row r="1" spans="1:28" ht="22.5" x14ac:dyDescent="0.45">
      <c r="A1" s="362" t="s">
        <v>89</v>
      </c>
      <c r="B1" s="362"/>
      <c r="C1" s="362"/>
      <c r="D1" s="362"/>
      <c r="E1" s="362"/>
      <c r="F1" s="362"/>
      <c r="G1" s="362"/>
      <c r="H1" s="362"/>
      <c r="I1" s="362"/>
    </row>
    <row r="2" spans="1:28" ht="18" x14ac:dyDescent="0.25">
      <c r="A2" s="270">
        <v>46204</v>
      </c>
      <c r="B2" s="325"/>
      <c r="C2" s="325"/>
      <c r="D2" s="325"/>
      <c r="E2" s="325"/>
      <c r="F2" s="325"/>
      <c r="G2" s="325"/>
      <c r="H2" s="325"/>
      <c r="I2" s="153"/>
      <c r="J2" s="153"/>
    </row>
    <row r="14" spans="1:28" x14ac:dyDescent="0.25">
      <c r="X14" s="361" t="s">
        <v>114</v>
      </c>
      <c r="Y14" s="361"/>
      <c r="Z14" s="361"/>
    </row>
    <row r="15" spans="1:28" x14ac:dyDescent="0.25">
      <c r="X15" s="200" t="s">
        <v>115</v>
      </c>
      <c r="Y15" s="200" t="s">
        <v>112</v>
      </c>
      <c r="Z15" s="200" t="s">
        <v>113</v>
      </c>
      <c r="AA15" s="200" t="s">
        <v>24</v>
      </c>
      <c r="AB15" s="200" t="s">
        <v>24</v>
      </c>
    </row>
    <row r="16" spans="1:28" x14ac:dyDescent="0.25">
      <c r="X16" s="204" t="s">
        <v>109</v>
      </c>
      <c r="Y16" s="204">
        <v>1363200</v>
      </c>
      <c r="Z16" s="204">
        <v>1212873.0157142859</v>
      </c>
      <c r="AA16" s="205">
        <f>+Z16/Y16*100</f>
        <v>88.972492349932935</v>
      </c>
      <c r="AB16" s="206">
        <f>+AA16*0.3333</f>
        <v>29.654531700232646</v>
      </c>
    </row>
    <row r="17" spans="1:28" x14ac:dyDescent="0.25">
      <c r="X17" s="200" t="s">
        <v>110</v>
      </c>
      <c r="Y17" s="200">
        <v>16</v>
      </c>
      <c r="Z17" s="200">
        <v>16</v>
      </c>
      <c r="AA17" s="201">
        <f>+Z17/Y17*100</f>
        <v>100</v>
      </c>
      <c r="AB17" s="202">
        <f t="shared" ref="AB17:AB18" si="0">+AA17*0.3333</f>
        <v>33.33</v>
      </c>
    </row>
    <row r="18" spans="1:28" x14ac:dyDescent="0.25">
      <c r="X18" s="200" t="s">
        <v>111</v>
      </c>
      <c r="Y18" s="203">
        <v>28000</v>
      </c>
      <c r="Z18" s="200">
        <v>29678</v>
      </c>
      <c r="AA18" s="201">
        <f>+Z18/Y18*100</f>
        <v>105.99285714285713</v>
      </c>
      <c r="AB18" s="202">
        <f t="shared" si="0"/>
        <v>35.327419285714278</v>
      </c>
    </row>
    <row r="19" spans="1:28" ht="15.75" x14ac:dyDescent="0.25">
      <c r="A19" s="265" t="s">
        <v>90</v>
      </c>
      <c r="B19" s="266"/>
      <c r="C19" s="266"/>
      <c r="D19" s="332"/>
      <c r="E19" s="144" t="s">
        <v>27</v>
      </c>
      <c r="F19" s="144" t="s">
        <v>21</v>
      </c>
      <c r="G19" s="80" t="s">
        <v>24</v>
      </c>
      <c r="H19" s="80" t="s">
        <v>67</v>
      </c>
      <c r="X19" s="200"/>
      <c r="Y19" s="200"/>
      <c r="Z19" s="200"/>
      <c r="AA19" s="201"/>
      <c r="AB19" s="202">
        <f>+SUM(AB16:AB18)</f>
        <v>98.311950985946922</v>
      </c>
    </row>
    <row r="20" spans="1:28" x14ac:dyDescent="0.25">
      <c r="A20" s="81">
        <v>1</v>
      </c>
      <c r="B20" s="82" t="s">
        <v>92</v>
      </c>
      <c r="C20" s="83"/>
      <c r="D20" s="84"/>
      <c r="E20" s="85">
        <v>1</v>
      </c>
      <c r="F20" s="126">
        <v>0.98</v>
      </c>
      <c r="G20" s="126">
        <f>MIN(F20/E20,1)</f>
        <v>0.98</v>
      </c>
      <c r="H20" s="149">
        <f>_xlfn.IFS(G20&gt;=100%,500,G20&gt;=80%,350,G20&gt;=70%,250,G20&lt;69%,0)</f>
        <v>350</v>
      </c>
    </row>
    <row r="21" spans="1:28" ht="15.75" x14ac:dyDescent="0.25">
      <c r="A21" s="358" t="s">
        <v>93</v>
      </c>
      <c r="B21" s="359"/>
      <c r="C21" s="359"/>
      <c r="D21" s="360"/>
      <c r="E21" s="144" t="s">
        <v>27</v>
      </c>
      <c r="F21" s="144" t="s">
        <v>21</v>
      </c>
      <c r="G21" s="80" t="s">
        <v>24</v>
      </c>
      <c r="H21" s="80" t="s">
        <v>67</v>
      </c>
    </row>
    <row r="22" spans="1:28" x14ac:dyDescent="0.25">
      <c r="A22" s="140">
        <v>1</v>
      </c>
      <c r="B22" s="82" t="s">
        <v>92</v>
      </c>
      <c r="C22" s="142"/>
      <c r="D22" s="143"/>
      <c r="E22" s="126">
        <v>1</v>
      </c>
      <c r="F22" s="126">
        <v>1</v>
      </c>
      <c r="G22" s="126">
        <f>MIN(F22/E22,1)</f>
        <v>1</v>
      </c>
      <c r="H22" s="149">
        <f>_xlfn.IFS(G22&gt;=100%,500,G22&gt;=80%,350,G22&gt;=70%,250,G22&lt;69%,0)</f>
        <v>500</v>
      </c>
    </row>
    <row r="23" spans="1:28" ht="15.75" x14ac:dyDescent="0.25">
      <c r="A23" s="358" t="s">
        <v>94</v>
      </c>
      <c r="B23" s="359"/>
      <c r="C23" s="359"/>
      <c r="D23" s="360"/>
      <c r="E23" s="144" t="s">
        <v>27</v>
      </c>
      <c r="F23" s="144" t="s">
        <v>21</v>
      </c>
      <c r="G23" s="80" t="s">
        <v>24</v>
      </c>
      <c r="H23" s="80" t="s">
        <v>67</v>
      </c>
    </row>
    <row r="24" spans="1:28" x14ac:dyDescent="0.25">
      <c r="A24" s="140">
        <v>1</v>
      </c>
      <c r="B24" s="82" t="s">
        <v>92</v>
      </c>
      <c r="C24" s="142"/>
      <c r="D24" s="143"/>
      <c r="E24" s="150">
        <v>30</v>
      </c>
      <c r="F24" s="150">
        <v>30</v>
      </c>
      <c r="G24" s="126">
        <f>MIN(F24/E24,1)</f>
        <v>1</v>
      </c>
      <c r="H24" s="149">
        <f>_xlfn.IFS(G24&gt;=100%,250,G24&gt;=80%,200,G24&gt;=70%,175,G24&lt;69%,0)</f>
        <v>250</v>
      </c>
      <c r="J24" s="198"/>
    </row>
    <row r="25" spans="1:28" ht="15.75" x14ac:dyDescent="0.25">
      <c r="A25" s="358" t="s">
        <v>121</v>
      </c>
      <c r="B25" s="359"/>
      <c r="C25" s="359"/>
      <c r="D25" s="360"/>
      <c r="E25" s="216" t="s">
        <v>27</v>
      </c>
      <c r="F25" s="216" t="s">
        <v>21</v>
      </c>
      <c r="G25" s="80" t="s">
        <v>24</v>
      </c>
      <c r="H25" s="80" t="s">
        <v>67</v>
      </c>
    </row>
    <row r="26" spans="1:28" x14ac:dyDescent="0.25">
      <c r="A26" s="140">
        <v>1</v>
      </c>
      <c r="B26" s="82" t="s">
        <v>92</v>
      </c>
      <c r="C26" s="142"/>
      <c r="D26" s="143"/>
      <c r="E26" s="217">
        <v>0.9</v>
      </c>
      <c r="F26" s="150">
        <v>100</v>
      </c>
      <c r="G26" s="126">
        <f>MIN(F26/E26,1)</f>
        <v>1</v>
      </c>
      <c r="H26" s="149">
        <f>IF(G26=100%,250,0)</f>
        <v>250</v>
      </c>
    </row>
    <row r="28" spans="1:28" ht="15.75" x14ac:dyDescent="0.25">
      <c r="A28" s="144" t="s">
        <v>14</v>
      </c>
      <c r="B28" s="326" t="s">
        <v>91</v>
      </c>
      <c r="C28" s="326"/>
      <c r="D28" s="326"/>
      <c r="E28" s="326"/>
      <c r="F28" s="326"/>
      <c r="G28" s="327" t="s">
        <v>71</v>
      </c>
      <c r="H28" s="327"/>
    </row>
    <row r="29" spans="1:28" x14ac:dyDescent="0.25">
      <c r="A29" s="152">
        <v>1</v>
      </c>
      <c r="B29" s="329" t="s">
        <v>92</v>
      </c>
      <c r="C29" s="330"/>
      <c r="D29" s="330"/>
      <c r="E29" s="330"/>
      <c r="F29" s="331"/>
      <c r="G29" s="328">
        <f>H20+H22+H24+H26</f>
        <v>1350</v>
      </c>
      <c r="H29" s="274"/>
    </row>
  </sheetData>
  <mergeCells count="11">
    <mergeCell ref="A1:I1"/>
    <mergeCell ref="A2:H2"/>
    <mergeCell ref="A19:D19"/>
    <mergeCell ref="A21:D21"/>
    <mergeCell ref="A23:D23"/>
    <mergeCell ref="X14:Z14"/>
    <mergeCell ref="B28:F28"/>
    <mergeCell ref="G28:H28"/>
    <mergeCell ref="B29:F29"/>
    <mergeCell ref="G29:H29"/>
    <mergeCell ref="A25:D25"/>
  </mergeCells>
  <pageMargins left="0.7" right="0.7" top="0.75" bottom="0.75" header="0.3" footer="0.3"/>
  <pageSetup scale="86" orientation="portrait" horizontalDpi="360" verticalDpi="360" r:id="rId1"/>
  <colBreaks count="1" manualBreakCount="1">
    <brk id="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A4F9-5612-4D98-A816-C78B8D973ED0}">
  <dimension ref="A3:L40"/>
  <sheetViews>
    <sheetView view="pageBreakPreview" zoomScaleNormal="100" zoomScaleSheetLayoutView="100" workbookViewId="0">
      <selection activeCell="I39" sqref="I39"/>
    </sheetView>
  </sheetViews>
  <sheetFormatPr baseColWidth="10" defaultRowHeight="15" x14ac:dyDescent="0.25"/>
  <cols>
    <col min="1" max="2" width="4.140625" customWidth="1"/>
    <col min="3" max="3" width="20.85546875" customWidth="1"/>
    <col min="9" max="9" width="12.5703125" customWidth="1"/>
    <col min="10" max="10" width="6.140625" customWidth="1"/>
    <col min="11" max="11" width="64.85546875" customWidth="1"/>
    <col min="12" max="12" width="5.42578125" customWidth="1"/>
  </cols>
  <sheetData>
    <row r="3" spans="1:12" x14ac:dyDescent="0.25">
      <c r="A3" s="2"/>
      <c r="B3" s="4"/>
      <c r="C3" s="4"/>
      <c r="D3" s="4"/>
      <c r="E3" s="4"/>
      <c r="F3" s="4"/>
      <c r="G3" s="4"/>
      <c r="H3" s="4"/>
      <c r="I3" s="4"/>
      <c r="J3" s="4"/>
      <c r="L3" s="2"/>
    </row>
    <row r="4" spans="1:12" x14ac:dyDescent="0.25">
      <c r="A4" s="2"/>
      <c r="B4" s="2"/>
      <c r="C4" s="2"/>
      <c r="D4" s="2"/>
      <c r="E4" s="2"/>
      <c r="F4" s="2"/>
      <c r="G4" s="8"/>
      <c r="H4" s="2"/>
      <c r="I4" s="2"/>
      <c r="J4" s="2"/>
      <c r="L4" s="2"/>
    </row>
    <row r="5" spans="1:12" ht="22.5" x14ac:dyDescent="0.45">
      <c r="A5" s="363" t="s">
        <v>33</v>
      </c>
      <c r="B5" s="363"/>
      <c r="C5" s="363"/>
      <c r="D5" s="363"/>
      <c r="E5" s="363"/>
      <c r="F5" s="363"/>
      <c r="G5" s="363"/>
      <c r="H5" s="363"/>
      <c r="I5" s="363"/>
      <c r="J5" s="363"/>
      <c r="K5" s="35"/>
      <c r="L5" s="47"/>
    </row>
    <row r="6" spans="1:12" ht="22.5" x14ac:dyDescent="0.45">
      <c r="A6" s="42"/>
      <c r="B6" s="364" t="s">
        <v>47</v>
      </c>
      <c r="C6" s="364"/>
      <c r="D6" s="364"/>
      <c r="E6" s="364"/>
      <c r="F6" s="364"/>
      <c r="G6" s="364"/>
      <c r="H6" s="364"/>
      <c r="I6" s="364"/>
      <c r="J6" s="42"/>
      <c r="L6" s="42"/>
    </row>
    <row r="7" spans="1:12" x14ac:dyDescent="0.25">
      <c r="A7" s="2"/>
      <c r="B7" s="4"/>
      <c r="C7" s="51"/>
      <c r="D7" s="51"/>
      <c r="E7" s="51"/>
      <c r="F7" s="51"/>
      <c r="G7" s="7"/>
      <c r="H7" s="4"/>
      <c r="I7" s="4"/>
      <c r="J7" s="4"/>
      <c r="L7" s="2"/>
    </row>
    <row r="8" spans="1:12" ht="15" customHeight="1" x14ac:dyDescent="0.25">
      <c r="A8" s="2"/>
      <c r="B8" s="2"/>
      <c r="C8" s="4"/>
      <c r="D8" s="366"/>
      <c r="E8" s="367"/>
      <c r="F8" s="308" t="s">
        <v>2</v>
      </c>
      <c r="G8" s="308"/>
      <c r="H8" s="308"/>
      <c r="I8" s="54"/>
      <c r="J8" s="39"/>
      <c r="L8" s="2"/>
    </row>
    <row r="9" spans="1:12" x14ac:dyDescent="0.25">
      <c r="A9" s="2"/>
      <c r="B9" s="2"/>
      <c r="C9" s="4"/>
      <c r="D9" s="365" t="s">
        <v>34</v>
      </c>
      <c r="E9" s="365"/>
      <c r="F9" s="368">
        <v>0.7</v>
      </c>
      <c r="G9" s="369"/>
      <c r="H9" s="370"/>
      <c r="I9" s="55"/>
      <c r="J9" s="11"/>
      <c r="L9" s="2"/>
    </row>
    <row r="10" spans="1:12" x14ac:dyDescent="0.25">
      <c r="A10" s="2"/>
      <c r="B10" s="2"/>
      <c r="C10" s="4"/>
      <c r="D10" s="365" t="s">
        <v>35</v>
      </c>
      <c r="E10" s="365"/>
      <c r="F10" s="368">
        <v>0.7</v>
      </c>
      <c r="G10" s="369"/>
      <c r="H10" s="370"/>
      <c r="I10" s="53"/>
      <c r="J10" s="4"/>
      <c r="L10" s="2"/>
    </row>
    <row r="11" spans="1:12" ht="16.5" customHeight="1" x14ac:dyDescent="0.25">
      <c r="A11" s="2"/>
      <c r="B11" s="2"/>
      <c r="C11" s="4"/>
      <c r="D11" s="365" t="s">
        <v>36</v>
      </c>
      <c r="E11" s="365"/>
      <c r="F11" s="368">
        <v>0.7</v>
      </c>
      <c r="G11" s="369"/>
      <c r="H11" s="370"/>
      <c r="I11" s="53"/>
      <c r="J11" s="40"/>
      <c r="L11" s="2"/>
    </row>
    <row r="12" spans="1:12" x14ac:dyDescent="0.25">
      <c r="A12" s="2"/>
      <c r="B12" s="2"/>
      <c r="C12" s="52"/>
      <c r="D12" s="52"/>
      <c r="E12" s="52"/>
      <c r="F12" s="52"/>
      <c r="G12" s="53"/>
      <c r="H12" s="53"/>
      <c r="I12" s="53"/>
      <c r="J12" s="4"/>
      <c r="L12" s="2"/>
    </row>
    <row r="13" spans="1:12" x14ac:dyDescent="0.25">
      <c r="A13" s="2"/>
      <c r="B13" s="2"/>
      <c r="C13" s="52"/>
      <c r="D13" s="52"/>
      <c r="E13" s="52"/>
      <c r="F13" s="52"/>
      <c r="G13" s="53"/>
      <c r="H13" s="53"/>
      <c r="I13" s="53"/>
      <c r="J13" s="4"/>
      <c r="L13" s="2"/>
    </row>
    <row r="14" spans="1:12" x14ac:dyDescent="0.25">
      <c r="A14" s="2"/>
      <c r="B14" s="2"/>
      <c r="C14" s="56" t="s">
        <v>37</v>
      </c>
      <c r="D14" s="372" t="s">
        <v>38</v>
      </c>
      <c r="E14" s="372"/>
      <c r="F14" s="372" t="s">
        <v>39</v>
      </c>
      <c r="G14" s="372"/>
      <c r="H14" s="372" t="s">
        <v>40</v>
      </c>
      <c r="I14" s="372"/>
      <c r="J14" s="4"/>
      <c r="L14" s="2"/>
    </row>
    <row r="15" spans="1:12" x14ac:dyDescent="0.25">
      <c r="A15" s="2"/>
      <c r="B15" s="2"/>
      <c r="C15" s="57">
        <v>0.1</v>
      </c>
      <c r="D15" s="371">
        <v>50</v>
      </c>
      <c r="E15" s="371"/>
      <c r="F15" s="373">
        <v>5.0000000000000001E-4</v>
      </c>
      <c r="G15" s="373"/>
      <c r="H15" s="373">
        <v>5.0000000000000002E-5</v>
      </c>
      <c r="I15" s="373"/>
      <c r="J15" s="4"/>
      <c r="L15" s="2"/>
    </row>
    <row r="16" spans="1:12" x14ac:dyDescent="0.25">
      <c r="A16" s="2"/>
      <c r="B16" s="4"/>
      <c r="C16" s="57">
        <v>0.2</v>
      </c>
      <c r="D16" s="371">
        <v>100</v>
      </c>
      <c r="E16" s="371"/>
      <c r="F16" s="373">
        <v>7.5000000000000002E-4</v>
      </c>
      <c r="G16" s="373"/>
      <c r="H16" s="373">
        <v>1E-4</v>
      </c>
      <c r="I16" s="373"/>
      <c r="J16" s="14"/>
      <c r="L16" s="2"/>
    </row>
    <row r="17" spans="1:12" x14ac:dyDescent="0.25">
      <c r="A17" s="2"/>
      <c r="B17" s="43"/>
      <c r="C17" s="57">
        <v>0.3</v>
      </c>
      <c r="D17" s="371">
        <v>150</v>
      </c>
      <c r="E17" s="371"/>
      <c r="F17" s="373">
        <v>1E-3</v>
      </c>
      <c r="G17" s="373"/>
      <c r="H17" s="373">
        <v>1.4999999999999999E-4</v>
      </c>
      <c r="I17" s="373"/>
      <c r="J17" s="14"/>
      <c r="L17" s="2"/>
    </row>
    <row r="18" spans="1:12" x14ac:dyDescent="0.25">
      <c r="A18" s="2"/>
      <c r="B18" s="41"/>
      <c r="C18" s="57">
        <v>0.4</v>
      </c>
      <c r="D18" s="371">
        <v>200</v>
      </c>
      <c r="E18" s="371"/>
      <c r="F18" s="373">
        <v>1.25E-3</v>
      </c>
      <c r="G18" s="373"/>
      <c r="H18" s="373">
        <v>2.0000000000000001E-4</v>
      </c>
      <c r="I18" s="373"/>
      <c r="J18" s="4"/>
      <c r="L18" s="2"/>
    </row>
    <row r="19" spans="1:12" x14ac:dyDescent="0.25">
      <c r="A19" s="2"/>
      <c r="B19" s="43"/>
      <c r="C19" s="57">
        <v>0.5</v>
      </c>
      <c r="D19" s="371">
        <v>250</v>
      </c>
      <c r="E19" s="371"/>
      <c r="F19" s="373">
        <v>1.5E-3</v>
      </c>
      <c r="G19" s="373"/>
      <c r="H19" s="373">
        <v>2.5000000000000001E-4</v>
      </c>
      <c r="I19" s="373"/>
      <c r="J19" s="4"/>
      <c r="L19" s="2"/>
    </row>
    <row r="20" spans="1:12" x14ac:dyDescent="0.25">
      <c r="A20" s="2"/>
      <c r="B20" s="41"/>
      <c r="C20" s="57">
        <v>0.6</v>
      </c>
      <c r="D20" s="371">
        <v>300</v>
      </c>
      <c r="E20" s="371"/>
      <c r="F20" s="373">
        <v>1.75E-3</v>
      </c>
      <c r="G20" s="373"/>
      <c r="H20" s="373">
        <v>2.9999999999999997E-4</v>
      </c>
      <c r="I20" s="373"/>
      <c r="J20" s="4"/>
      <c r="L20" s="2"/>
    </row>
    <row r="21" spans="1:12" x14ac:dyDescent="0.25">
      <c r="A21" s="2"/>
      <c r="B21" s="43"/>
      <c r="C21" s="57">
        <v>0.7</v>
      </c>
      <c r="D21" s="371">
        <v>350</v>
      </c>
      <c r="E21" s="371"/>
      <c r="F21" s="373">
        <v>2E-3</v>
      </c>
      <c r="G21" s="373"/>
      <c r="H21" s="373">
        <v>3.5E-4</v>
      </c>
      <c r="I21" s="373"/>
      <c r="J21" s="4"/>
      <c r="L21" s="2"/>
    </row>
    <row r="22" spans="1:12" x14ac:dyDescent="0.25">
      <c r="A22" s="2"/>
      <c r="B22" s="41"/>
      <c r="C22" s="57">
        <v>0.8</v>
      </c>
      <c r="D22" s="371">
        <v>400</v>
      </c>
      <c r="E22" s="371"/>
      <c r="F22" s="373">
        <v>2.2499999999999998E-3</v>
      </c>
      <c r="G22" s="373"/>
      <c r="H22" s="373">
        <v>4.0000000000000002E-4</v>
      </c>
      <c r="I22" s="373"/>
      <c r="J22" s="4"/>
      <c r="L22" s="2"/>
    </row>
    <row r="23" spans="1:12" x14ac:dyDescent="0.25">
      <c r="A23" s="2"/>
      <c r="B23" s="43"/>
      <c r="C23" s="57">
        <v>0.9</v>
      </c>
      <c r="D23" s="371">
        <v>450</v>
      </c>
      <c r="E23" s="371"/>
      <c r="F23" s="373">
        <v>2.5000000000000001E-3</v>
      </c>
      <c r="G23" s="373"/>
      <c r="H23" s="373">
        <v>4.4999999999999999E-4</v>
      </c>
      <c r="I23" s="373"/>
      <c r="J23" s="4"/>
      <c r="L23" s="2"/>
    </row>
    <row r="24" spans="1:12" x14ac:dyDescent="0.25">
      <c r="A24" s="2"/>
      <c r="B24" s="41"/>
      <c r="C24" s="57">
        <v>1</v>
      </c>
      <c r="D24" s="371">
        <v>500</v>
      </c>
      <c r="E24" s="371"/>
      <c r="F24" s="373">
        <v>2.7499999999999998E-3</v>
      </c>
      <c r="G24" s="373"/>
      <c r="H24" s="373">
        <v>5.0000000000000001E-4</v>
      </c>
      <c r="I24" s="373"/>
      <c r="J24" s="2"/>
      <c r="L24" s="2"/>
    </row>
    <row r="25" spans="1:12" x14ac:dyDescent="0.25">
      <c r="A25" s="2"/>
      <c r="B25" s="4"/>
      <c r="C25" s="4"/>
      <c r="D25" s="4"/>
      <c r="E25" s="4"/>
      <c r="F25" s="4"/>
      <c r="G25" s="7"/>
      <c r="H25" s="4"/>
      <c r="I25" s="4"/>
      <c r="J25" s="2"/>
      <c r="L25" s="2"/>
    </row>
    <row r="26" spans="1:12" x14ac:dyDescent="0.25">
      <c r="A26" s="2"/>
      <c r="B26" s="36"/>
      <c r="C26" s="378" t="s">
        <v>32</v>
      </c>
      <c r="D26" s="378"/>
      <c r="E26" s="378"/>
      <c r="F26" s="378"/>
      <c r="G26" s="378"/>
      <c r="H26" s="378"/>
      <c r="I26" s="378"/>
      <c r="J26" s="2"/>
      <c r="L26" s="2"/>
    </row>
    <row r="27" spans="1:12" x14ac:dyDescent="0.25">
      <c r="A27" s="2"/>
      <c r="B27" s="41"/>
      <c r="C27" s="58"/>
      <c r="D27" s="379" t="s">
        <v>2</v>
      </c>
      <c r="E27" s="379"/>
      <c r="F27" s="374" t="s">
        <v>32</v>
      </c>
      <c r="G27" s="375"/>
      <c r="H27" s="374" t="s">
        <v>42</v>
      </c>
      <c r="I27" s="375"/>
      <c r="J27" s="2"/>
      <c r="L27" s="2"/>
    </row>
    <row r="28" spans="1:12" x14ac:dyDescent="0.25">
      <c r="A28" s="2"/>
      <c r="B28" s="39"/>
      <c r="C28" s="59" t="s">
        <v>41</v>
      </c>
      <c r="D28" s="380">
        <v>0.7</v>
      </c>
      <c r="E28" s="381"/>
      <c r="F28" s="376">
        <v>0.5</v>
      </c>
      <c r="G28" s="377"/>
      <c r="H28" s="382">
        <v>0</v>
      </c>
      <c r="I28" s="383"/>
      <c r="J28" s="2"/>
      <c r="L28" s="2"/>
    </row>
    <row r="29" spans="1:12" x14ac:dyDescent="0.25">
      <c r="A29" s="2"/>
      <c r="B29" s="2"/>
      <c r="C29" s="60" t="s">
        <v>39</v>
      </c>
      <c r="D29" s="380">
        <v>0.7</v>
      </c>
      <c r="E29" s="381"/>
      <c r="F29" s="376">
        <v>0.6</v>
      </c>
      <c r="G29" s="377"/>
      <c r="H29" s="382">
        <v>0</v>
      </c>
      <c r="I29" s="383"/>
      <c r="J29" s="2"/>
      <c r="L29" s="2"/>
    </row>
    <row r="30" spans="1:12" x14ac:dyDescent="0.25">
      <c r="A30" s="4"/>
      <c r="B30" s="4"/>
      <c r="C30" s="60" t="s">
        <v>40</v>
      </c>
      <c r="D30" s="380">
        <v>0.7</v>
      </c>
      <c r="E30" s="381"/>
      <c r="F30" s="376">
        <v>1</v>
      </c>
      <c r="G30" s="377"/>
      <c r="H30" s="382">
        <v>258.75</v>
      </c>
      <c r="I30" s="383"/>
      <c r="J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2" x14ac:dyDescent="0.25">
      <c r="A32" s="4"/>
      <c r="B32" s="4"/>
      <c r="C32" s="378" t="s">
        <v>30</v>
      </c>
      <c r="D32" s="378"/>
      <c r="E32" s="378"/>
      <c r="F32" s="378"/>
      <c r="G32" s="378"/>
      <c r="H32" s="378"/>
      <c r="I32" s="378"/>
      <c r="J32" s="4"/>
    </row>
    <row r="33" spans="1:10" x14ac:dyDescent="0.25">
      <c r="A33" s="4"/>
      <c r="B33" s="4"/>
      <c r="C33" s="58"/>
      <c r="D33" s="379" t="s">
        <v>2</v>
      </c>
      <c r="E33" s="379"/>
      <c r="F33" s="374" t="s">
        <v>30</v>
      </c>
      <c r="G33" s="375"/>
      <c r="H33" s="374" t="s">
        <v>42</v>
      </c>
      <c r="I33" s="375"/>
      <c r="J33" s="4"/>
    </row>
    <row r="34" spans="1:10" x14ac:dyDescent="0.25">
      <c r="A34" s="4"/>
      <c r="B34" s="4"/>
      <c r="C34" s="59" t="s">
        <v>41</v>
      </c>
      <c r="D34" s="380">
        <v>0.7</v>
      </c>
      <c r="E34" s="381"/>
      <c r="F34" s="376">
        <v>0.6</v>
      </c>
      <c r="G34" s="377"/>
      <c r="H34" s="382">
        <v>0</v>
      </c>
      <c r="I34" s="383"/>
      <c r="J34" s="4"/>
    </row>
    <row r="35" spans="1:10" x14ac:dyDescent="0.25">
      <c r="A35" s="4"/>
      <c r="B35" s="4"/>
      <c r="C35" s="60" t="s">
        <v>39</v>
      </c>
      <c r="D35" s="380">
        <v>0.7</v>
      </c>
      <c r="E35" s="381"/>
      <c r="F35" s="376">
        <v>0.8</v>
      </c>
      <c r="G35" s="377"/>
      <c r="H35" s="382">
        <v>83.74</v>
      </c>
      <c r="I35" s="383"/>
      <c r="J35" s="4"/>
    </row>
    <row r="36" spans="1:10" x14ac:dyDescent="0.25">
      <c r="A36" s="4"/>
      <c r="B36" s="4"/>
      <c r="C36" s="60" t="s">
        <v>40</v>
      </c>
      <c r="D36" s="380">
        <v>0.7</v>
      </c>
      <c r="E36" s="381"/>
      <c r="F36" s="376">
        <v>1</v>
      </c>
      <c r="G36" s="377"/>
      <c r="H36" s="382">
        <v>102.07</v>
      </c>
      <c r="I36" s="383"/>
      <c r="J36" s="4"/>
    </row>
    <row r="37" spans="1:10" x14ac:dyDescent="0.25">
      <c r="A37" s="4"/>
      <c r="B37" s="4"/>
      <c r="C37" s="4"/>
      <c r="E37" s="4"/>
      <c r="F37" s="4"/>
      <c r="G37" s="4"/>
      <c r="H37" s="4"/>
      <c r="I37" s="4"/>
      <c r="J37" s="4"/>
    </row>
    <row r="38" spans="1:10" ht="25.5" x14ac:dyDescent="0.25">
      <c r="A38" s="4"/>
      <c r="B38" s="4"/>
      <c r="C38" s="33" t="s">
        <v>14</v>
      </c>
      <c r="D38" s="316" t="s">
        <v>45</v>
      </c>
      <c r="E38" s="317"/>
      <c r="F38" s="317"/>
      <c r="G38" s="317"/>
      <c r="H38" s="318"/>
      <c r="I38" s="15" t="s">
        <v>44</v>
      </c>
      <c r="J38" s="4"/>
    </row>
    <row r="39" spans="1:10" x14ac:dyDescent="0.25">
      <c r="A39" s="4"/>
      <c r="B39" s="4"/>
      <c r="C39" s="9">
        <v>1</v>
      </c>
      <c r="D39" s="313" t="s">
        <v>43</v>
      </c>
      <c r="E39" s="314"/>
      <c r="F39" s="314"/>
      <c r="G39" s="314"/>
      <c r="H39" s="315"/>
      <c r="I39" s="37">
        <f>H28+H29+H30+H34+H35+H36</f>
        <v>444.56</v>
      </c>
      <c r="J39" s="4"/>
    </row>
    <row r="40" spans="1:10" x14ac:dyDescent="0.25">
      <c r="A40" s="4"/>
      <c r="B40" s="4"/>
      <c r="C40" s="44" t="s">
        <v>46</v>
      </c>
      <c r="D40" s="45"/>
      <c r="E40" s="45"/>
      <c r="F40" s="45"/>
      <c r="G40" s="45"/>
      <c r="H40" s="45"/>
      <c r="I40" s="38">
        <f>SUM(I39:I39)</f>
        <v>444.56</v>
      </c>
      <c r="J40" s="4"/>
    </row>
  </sheetData>
  <mergeCells count="71">
    <mergeCell ref="H34:I34"/>
    <mergeCell ref="H35:I35"/>
    <mergeCell ref="H36:I36"/>
    <mergeCell ref="H27:I27"/>
    <mergeCell ref="H28:I28"/>
    <mergeCell ref="H29:I29"/>
    <mergeCell ref="H30:I30"/>
    <mergeCell ref="H33:I33"/>
    <mergeCell ref="F34:G34"/>
    <mergeCell ref="D35:E35"/>
    <mergeCell ref="F35:G35"/>
    <mergeCell ref="D36:E36"/>
    <mergeCell ref="F36:G36"/>
    <mergeCell ref="H18:I18"/>
    <mergeCell ref="D28:E28"/>
    <mergeCell ref="D29:E29"/>
    <mergeCell ref="D30:E30"/>
    <mergeCell ref="H20:I20"/>
    <mergeCell ref="H21:I21"/>
    <mergeCell ref="H22:I22"/>
    <mergeCell ref="H23:I23"/>
    <mergeCell ref="H24:I24"/>
    <mergeCell ref="D27:E27"/>
    <mergeCell ref="F21:G21"/>
    <mergeCell ref="F22:G22"/>
    <mergeCell ref="F23:G23"/>
    <mergeCell ref="F24:G24"/>
    <mergeCell ref="F18:G18"/>
    <mergeCell ref="C26:I26"/>
    <mergeCell ref="D16:E16"/>
    <mergeCell ref="D17:E17"/>
    <mergeCell ref="H14:I14"/>
    <mergeCell ref="H15:I15"/>
    <mergeCell ref="H16:I16"/>
    <mergeCell ref="H17:I17"/>
    <mergeCell ref="F14:G14"/>
    <mergeCell ref="F15:G15"/>
    <mergeCell ref="F16:G16"/>
    <mergeCell ref="F17:G17"/>
    <mergeCell ref="D38:H38"/>
    <mergeCell ref="H19:I19"/>
    <mergeCell ref="D22:E22"/>
    <mergeCell ref="D23:E23"/>
    <mergeCell ref="D24:E24"/>
    <mergeCell ref="F19:G19"/>
    <mergeCell ref="F20:G20"/>
    <mergeCell ref="D21:E21"/>
    <mergeCell ref="F27:G27"/>
    <mergeCell ref="F28:G28"/>
    <mergeCell ref="F29:G29"/>
    <mergeCell ref="F30:G30"/>
    <mergeCell ref="C32:I32"/>
    <mergeCell ref="D33:E33"/>
    <mergeCell ref="F33:G33"/>
    <mergeCell ref="D34:E34"/>
    <mergeCell ref="A5:J5"/>
    <mergeCell ref="B6:I6"/>
    <mergeCell ref="D39:H39"/>
    <mergeCell ref="D9:E9"/>
    <mergeCell ref="D10:E10"/>
    <mergeCell ref="D11:E11"/>
    <mergeCell ref="F8:H8"/>
    <mergeCell ref="D8:E8"/>
    <mergeCell ref="F9:H9"/>
    <mergeCell ref="D18:E18"/>
    <mergeCell ref="D19:E19"/>
    <mergeCell ref="D20:E20"/>
    <mergeCell ref="F10:H10"/>
    <mergeCell ref="F11:H11"/>
    <mergeCell ref="D14:E14"/>
    <mergeCell ref="D15:E15"/>
  </mergeCells>
  <pageMargins left="0.7" right="0.7" top="0.75" bottom="0.75" header="0.3" footer="0.3"/>
  <pageSetup paperSize="9" scale="83" orientation="portrait" horizontalDpi="360" verticalDpi="360" r:id="rId1"/>
  <colBreaks count="1" manualBreakCount="1">
    <brk id="10" min="2" max="4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BONOS CC</vt:lpstr>
      <vt:lpstr>RESUMEN TESORERIA</vt:lpstr>
      <vt:lpstr>MULTICENTER</vt:lpstr>
      <vt:lpstr>AGENTE DE CAMPAÑAS</vt:lpstr>
      <vt:lpstr>OPERADOR YANGO</vt:lpstr>
      <vt:lpstr>AUX CC</vt:lpstr>
      <vt:lpstr>JEFE DE CONTROL DE CALIDAD</vt:lpstr>
      <vt:lpstr>JEFE DE CONTACT CENTER</vt:lpstr>
      <vt:lpstr>GERENCIA COMERCIAL</vt:lpstr>
      <vt:lpstr>'AGENTE DE CAMPAÑAS'!Área_de_impresión</vt:lpstr>
      <vt:lpstr>'AUX CC'!Área_de_impresión</vt:lpstr>
      <vt:lpstr>'BONOS CC'!Área_de_impresión</vt:lpstr>
      <vt:lpstr>'GERENCIA COMERCIAL'!Área_de_impresión</vt:lpstr>
      <vt:lpstr>'JEFE DE CONTACT CENTER'!Área_de_impresión</vt:lpstr>
      <vt:lpstr>'JEFE DE CONTROL DE CALIDAD'!Área_de_impresión</vt:lpstr>
      <vt:lpstr>MULTICENTER!Área_de_impresión</vt:lpstr>
      <vt:lpstr>'OPERADOR YANGO'!Área_de_impresión</vt:lpstr>
      <vt:lpstr>'RESUMEN TESORERIA'!Área_de_impresión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José Carlos CM</cp:lastModifiedBy>
  <cp:lastPrinted>2026-03-20T15:13:48Z</cp:lastPrinted>
  <dcterms:created xsi:type="dcterms:W3CDTF">2021-07-30T15:46:12Z</dcterms:created>
  <dcterms:modified xsi:type="dcterms:W3CDTF">2026-08-29T00:01:10Z</dcterms:modified>
</cp:coreProperties>
</file>