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b5079a557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OS CC" sheetId="10" r:id="R7ef0559e3ce04653"/>
  </x:sheets>
</x:workbook>
</file>

<file path=xl/sharedStrings.xml><?xml version="1.0" encoding="utf-8"?>
<x:sst xmlns:x="http://schemas.openxmlformats.org/spreadsheetml/2006/main">
  <x:si>
    <x:t xml:space="preserve">TOTAL GESTIONES</x:t>
  </x:si>
  <x:si>
    <x:t xml:space="preserve">BONOS CALL CENTER </x:t>
  </x:si>
  <x:si>
    <x:t xml:space="preserve">TOTAL CDP</x:t>
  </x:si>
  <x:si>
    <x:t xml:space="preserve">RAC COBRANZA</x:t>
  </x:si>
  <x:si>
    <x:t xml:space="preserve">COBRANZAS</x:t>
  </x:si>
  <x:si>
    <x:t xml:space="preserve">Peso</x:t>
  </x:si>
  <x:si>
    <x:t xml:space="preserve">Objetivo Mensual</x:t>
  </x:si>
  <x:si>
    <x:t xml:space="preserve">Calificación/ Bono</x:t>
  </x:si>
  <x:si>
    <x:t xml:space="preserve">RECUPERACIÓN</x:t>
  </x:si>
  <x:si>
    <x:t xml:space="preserve">85% - 89.9%</x:t>
  </x:si>
  <x:si>
    <x:t xml:space="preserve">90% - 94.9%</x:t>
  </x:si>
  <x:si>
    <x:t xml:space="preserve">&gt;= 95%</x:t>
  </x:si>
  <x:si>
    <x:t xml:space="preserve">1. Productividad</x:t>
  </x:si>
  <x:si>
    <x:t xml:space="preserve">2800 Gestiones</x:t>
  </x:si>
  <x:si>
    <x:t xml:space="preserve">100 Bs</x:t>
  </x:si>
  <x:si>
    <x:t xml:space="preserve">200 Bs</x:t>
  </x:si>
  <x:si>
    <x:t xml:space="preserve">350 Bs</x:t>
  </x:si>
  <x:si>
    <x:t xml:space="preserve">2. Recuperación</x:t>
  </x:si>
  <x:si>
    <x:t xml:space="preserve">170400 USD</x:t>
  </x:si>
  <x:si>
    <x:t xml:space="preserve">3. Promesas</x:t>
  </x:si>
  <x:si>
    <x:t xml:space="preserve">550 Promesas</x:t>
  </x:si>
  <x:si>
    <x:t xml:space="preserve">4. Satisfacción</x:t>
  </x:si>
  <x:si>
    <x:t xml:space="preserve">4. Calidad</x:t>
  </x:si>
  <x:si>
    <x:t xml:space="preserve">TOTAL</x:t>
  </x:si>
  <x:si>
    <x:t xml:space="preserve">1. PRODUCTIVIDAD</x:t>
  </x:si>
  <x:si>
    <x:t xml:space="preserve">OBJETIVO</x:t>
  </x:si>
  <x:si>
    <x:t xml:space="preserve">ALCANCE</x:t>
  </x:si>
  <x:si>
    <x:t xml:space="preserve">%</x:t>
  </x:si>
  <x:si>
    <x:t xml:space="preserve">PESO</x:t>
  </x:si>
  <x:si>
    <x:t xml:space="preserve">Carla Vaca</x:t>
  </x:si>
  <x:si>
    <x:t xml:space="preserve">Alisson Rodriguez</x:t>
  </x:si>
  <x:si>
    <x:t xml:space="preserve">Anahir Alvarez</x:t>
  </x:si>
  <x:si>
    <x:t xml:space="preserve">Yessica Rivas</x:t>
  </x:si>
  <x:si>
    <x:t xml:space="preserve">Yanine Ariñez</x:t>
  </x:si>
  <x:si>
    <x:t xml:space="preserve">Percy Rojas</x:t>
  </x:si>
  <x:si>
    <x:t xml:space="preserve">James Borja</x:t>
  </x:si>
  <x:si>
    <x:t xml:space="preserve">Aracely Peña</x:t>
  </x:si>
  <x:si>
    <x:t xml:space="preserve">2. RECUPERACION</x:t>
  </x:si>
  <x:si>
    <x:t xml:space="preserve">3. PROMESAS</x:t>
  </x:si>
  <x:si>
    <x:t xml:space="preserve">4. SATISFACCION</x:t>
  </x:si>
  <x:si>
    <x:t xml:space="preserve">5. PECUF</x:t>
  </x:si>
  <x:si>
    <x:t xml:space="preserve">6. PECN</x:t>
  </x:si>
  <x:si>
    <x:t xml:space="preserve">Nº</x:t>
  </x:si>
  <x:si>
    <x:t xml:space="preserve">TOTAL BONO Bs</x:t>
  </x:si>
  <x:si>
    <x:t xml:space="preserve">VALE RAC LIDER</x:t>
  </x:si>
  <x:si>
    <x:t xml:space="preserve">Indicador</x:t>
  </x:si>
  <x:si>
    <x:t xml:space="preserve">Objetivo mensual</x:t>
  </x:si>
  <x:si>
    <x:t xml:space="preserve">Bono 85%–89.9%</x:t>
  </x:si>
  <x:si>
    <x:t xml:space="preserve">Bono 90%–94.9%</x:t>
  </x:si>
  <x:si>
    <x:t xml:space="preserve">Bono ≥95%</x:t>
  </x:si>
  <x:si>
    <x:t xml:space="preserve">Gestiones del 20 a 31 de julio</x:t>
  </x:si>
  <x:si>
    <x:t xml:space="preserve">Alcanzado</x:t>
  </x:si>
  <x:si>
    <x:t xml:space="preserve">Objetivo general de equipo (recuperación)</x:t>
  </x:si>
  <x:si>
    <x:t xml:space="preserve">100% de cumplimiento del objetivo de recuperaciones a nivel global</x:t>
  </x:si>
  <x:si>
    <x:t xml:space="preserve">200 Bs.</x:t>
  </x:si>
  <x:si>
    <x:t xml:space="preserve">250 Bs.</x:t>
  </x:si>
  <x:si>
    <x:t xml:space="preserve">300 Bs.</x:t>
  </x:si>
  <x:si>
    <x:t xml:space="preserve">promedio</x:t>
  </x:si>
  <x:si>
    <x:t xml:space="preserve">Total</x:t>
  </x:si>
  <x:si>
    <x:t xml:space="preserve">del 1 a 19</x:t>
  </x:si>
  <x:si>
    <x:t xml:space="preserve">1. RECUPERACION GENERAL</x:t>
  </x:si>
  <x:si>
    <x:t xml:space="preserve">TOTAL VALE Bs</x:t>
  </x:si>
</x:sst>
</file>

<file path=xl/styles.xml><?xml version="1.0" encoding="utf-8"?>
<x:styleSheet xmlns:x="http://schemas.openxmlformats.org/spreadsheetml/2006/main">
  <x:numFmts count="4">
    <x:numFmt numFmtId="164" formatCode="0.000%"/>
    <x:numFmt numFmtId="165" formatCode="0.0%"/>
    <x:numFmt numFmtId="166" formatCode="&quot;Bs&quot;#,##0.00"/>
    <x:numFmt numFmtId="167" formatCode="0.0"/>
  </x:numFmts>
  <x:fonts count="54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theme="0"/>
      <x:name val="Calibri"/>
    </x:font>
    <x:font>
      <x:sz val="10"/>
      <x:color theme="0"/>
      <x:name val="Calibri"/>
    </x:font>
    <x:font>
      <x:b/>
      <x:sz val="10"/>
      <x:color rgb="FF000000"/>
      <x:name val="Calibri"/>
    </x:font>
    <x:font>
      <x:i/>
      <x:sz val="10"/>
      <x:color theme="1"/>
      <x:name val="Calibri"/>
    </x:font>
    <x:font>
      <x:b/>
      <x:sz val="10"/>
      <x:color theme="0"/>
      <x:name val="Calibri"/>
    </x:font>
    <x:font>
      <x:b/>
      <x:sz val="14"/>
      <x:color theme="1"/>
      <x:name val="Bodoni MT Black"/>
    </x:font>
    <x:font>
      <x:b/>
      <x:sz val="14"/>
      <x:color theme="1"/>
      <x:name val="Arial Black"/>
    </x:font>
    <x:font>
      <x:sz val="10"/>
      <x:color theme="1"/>
      <x:name val="Arial Black"/>
    </x:font>
    <x:font>
      <x:b/>
      <x:sz val="10"/>
      <x:color theme="0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sz val="12"/>
      <x:color theme="1"/>
      <x:name val="Arial"/>
    </x:font>
    <x:font>
      <x:b/>
      <x:sz val="12"/>
      <x:color theme="1"/>
      <x:name val="Arial"/>
    </x:font>
    <x:font>
      <x:b/>
      <x:sz val="12"/>
      <x:color theme="0"/>
      <x:name val="Arial"/>
    </x:font>
    <x:font>
      <x:sz val="12"/>
      <x:color theme="0"/>
      <x:name val="Arial"/>
    </x:font>
    <x:font>
      <x:b/>
      <x:sz val="12"/>
      <x:color theme="1"/>
      <x:name val="Arial"/>
    </x:font>
    <x:font>
      <x:b/>
      <x:sz val="12"/>
      <x:color rgb="FF000000"/>
      <x:name val="Arial"/>
    </x:font>
    <x:font>
      <x:i/>
      <x:sz val="12"/>
      <x:color theme="1"/>
      <x:name val="Arial"/>
    </x:font>
    <x:font>
      <x:b/>
      <x:sz val="12"/>
      <x:color theme="0"/>
      <x:name val="Arial"/>
    </x:font>
    <x:font>
      <x:b/>
      <x:sz val="14"/>
      <x:color theme="1"/>
      <x:name val="Arial"/>
    </x:font>
    <x:font>
      <x:b/>
      <x:sz val="12"/>
      <x:color theme="1"/>
      <x:name val="Arial Black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theme="0"/>
      <x:name val="Arial"/>
    </x:font>
    <x:font>
      <x:b/>
      <x:sz val="10"/>
      <x:color theme="0"/>
      <x:name val="Arial"/>
    </x:font>
    <x:font>
      <x:b/>
      <x:sz val="10"/>
      <x:color theme="1"/>
      <x:name val="Arial"/>
    </x:font>
    <x:font>
      <x:b/>
      <x:sz val="10"/>
      <x:color rgb="FF000000"/>
      <x:name val="Arial"/>
    </x:font>
    <x:font>
      <x:i/>
      <x:sz val="10"/>
      <x:color theme="1"/>
      <x:name val="Arial"/>
    </x:font>
    <x:font>
      <x:b/>
      <x:sz val="10"/>
      <x:color theme="0"/>
      <x:name val="Arial"/>
    </x:font>
    <x:font>
      <x:b/>
      <x:sz val="9"/>
      <x:color rgb="FFFFFFFF"/>
      <x:name val="Arial"/>
    </x:font>
    <x:font>
      <x:sz val="9"/>
      <x:color rgb="FF000000"/>
      <x:name val="Arial"/>
    </x:font>
    <x:font>
      <x:b/>
      <x:sz val="9"/>
      <x:color rgb="FF1F3864"/>
      <x:name val="Arial"/>
    </x:font>
    <x:font>
      <x:b/>
      <x:sz val="12"/>
      <x:color theme="0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002060"/>
      </x:patternFill>
    </x:fill>
    <x:fill>
      <x:patternFill patternType="solid">
        <x:fgColor theme="5" tint="0.59999"/>
      </x:patternFill>
    </x:fill>
    <x:fill>
      <x:patternFill patternType="solid">
        <x:fgColor rgb="FF1F3864"/>
      </x:patternFill>
    </x:fill>
    <x:fill>
      <x:patternFill patternType="solid">
        <x:fgColor rgb="FFD9E6F2"/>
      </x:patternFill>
    </x:fill>
    <x:fill>
      <x:patternFill patternType="solid">
        <x:fgColor rgb="FFFFFF00"/>
      </x:patternFill>
    </x:fill>
  </x:fills>
  <x:borders count="3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medium">
        <x:color rgb="FFBFBFBF"/>
      </x:left>
      <x:right style="medium">
        <x:color rgb="FFBFBFBF"/>
      </x:right>
      <x:top style="medium">
        <x:color rgb="FFBFBFBF"/>
      </x:top>
      <x:bottom style="medium">
        <x:color rgb="FFBFBFBF"/>
      </x:bottom>
    </x:border>
    <x:border>
      <x:right style="medium">
        <x:color rgb="FFBFBFBF"/>
      </x:right>
      <x:top style="medium">
        <x:color rgb="FFBFBFBF"/>
      </x:top>
      <x:bottom style="medium">
        <x:color rgb="FFBFBFBF"/>
      </x:bottom>
    </x:border>
    <x:border>
      <x:left style="medium">
        <x:color rgb="FFBFBFBF"/>
      </x:left>
      <x:right style="medium">
        <x:color rgb="FFBFBFBF"/>
      </x:right>
      <x:bottom style="medium">
        <x:color rgb="FFBFBFBF"/>
      </x:bottom>
    </x:border>
    <x:border>
      <x:right style="medium">
        <x:color rgb="FFBFBFBF"/>
      </x:right>
      <x:bottom style="medium">
        <x:color rgb="FFBFBFBF"/>
      </x:bottom>
    </x:border>
  </x:borders>
  <x:cellStyleXfs count="43">
    <x:xf numFmtId="0" fontId="0" fillId="0" borderId="0"/>
    <x:xf numFmtId="9" fontId="1" fillId="0" borderId="0" applyFont="0" applyFill="0" applyBorder="0" applyAlignment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384">
    <x:xf numFmtId="0" fontId="0" fillId="0" borderId="0" xfId="0"/>
    <x:xf numFmtId="0" fontId="0" fillId="0" borderId="0" xfId="0" applyAlignment="1">
      <x:alignment horizontal="left"/>
    </x:xf>
    <x:xf numFmtId="0" fontId="18" fillId="33" borderId="0" xfId="0" applyFont="1" applyFill="1"/>
    <x:xf numFmtId="0" fontId="18" fillId="33" borderId="11" xfId="0" applyFont="1" applyFill="1" applyBorder="1"/>
    <x:xf numFmtId="0" fontId="18" fillId="0" borderId="0" xfId="0" applyFont="1"/>
    <x:xf numFmtId="3" fontId="19" fillId="35" borderId="10" xfId="0" applyNumberFormat="1" applyFont="1" applyFill="1" applyBorder="1" applyAlignment="1">
      <x:alignment horizontal="center" vertical="center"/>
    </x:xf>
    <x:xf numFmtId="3" fontId="19" fillId="35" borderId="10" xfId="0" applyNumberFormat="1" applyFont="1" applyFill="1" applyBorder="1"/>
    <x:xf numFmtId="0" fontId="18" fillId="0" borderId="0" xfId="0" applyFont="1" applyAlignment="1">
      <x:alignment horizontal="center"/>
    </x:xf>
    <x:xf numFmtId="0" fontId="18" fillId="33" borderId="0" xfId="0" applyFont="1" applyFill="1" applyAlignment="1">
      <x:alignment horizontal="center"/>
    </x:xf>
    <x:xf numFmtId="0" fontId="18" fillId="33" borderId="10" xfId="0" applyFont="1" applyFill="1" applyBorder="1" applyAlignment="1">
      <x:alignment horizontal="center" vertical="center"/>
    </x:xf>
    <x:xf numFmtId="0" fontId="22" fillId="0" borderId="0" xfId="0" applyFont="1"/>
    <x:xf numFmtId="0" fontId="19" fillId="0" borderId="0" xfId="0" applyFont="1"/>
    <x:xf numFmtId="0" fontId="23" fillId="0" borderId="0" xfId="0" applyFont="1" applyAlignment="1">
      <x:alignment horizontal="center" vertical="center"/>
    </x:xf>
    <x:xf numFmtId="3" fontId="18" fillId="0" borderId="0" xfId="0" applyNumberFormat="1" applyFont="1"/>
    <x:xf numFmtId="0" fontId="24" fillId="0" borderId="0" xfId="0" applyFont="1"/>
    <x:xf numFmtId="0" fontId="21" fillId="34" borderId="10" xfId="0" applyFont="1" applyFill="1" applyBorder="1" applyAlignment="1">
      <x:alignment horizontal="center" vertical="center" wrapText="1"/>
    </x:xf>
    <x:xf numFmtId="0" fontId="20" fillId="33" borderId="0" xfId="0" applyFont="1" applyFill="1"/>
    <x:xf numFmtId="3" fontId="18" fillId="0" borderId="10" xfId="0" applyNumberFormat="1" applyFont="1" applyBorder="1" applyAlignment="1">
      <x:alignment horizontal="left" vertical="center"/>
    </x:xf>
    <x:xf numFmtId="3" fontId="18" fillId="0" borderId="10" xfId="0" applyNumberFormat="1" applyFont="1" applyBorder="1" applyAlignment="1">
      <x:alignment horizontal="left"/>
    </x:xf>
    <x:xf numFmtId="0" fontId="18" fillId="0" borderId="12" xfId="0" applyFont="1" applyBorder="1"/>
    <x:xf numFmtId="0" fontId="18" fillId="0" borderId="13" xfId="0" applyFont="1" applyBorder="1"/>
    <x:xf numFmtId="0" fontId="18" fillId="0" borderId="14" xfId="0" applyFont="1" applyBorder="1"/>
    <x:xf numFmtId="3" fontId="18" fillId="0" borderId="14" xfId="0" applyNumberFormat="1" applyFont="1" applyBorder="1" applyAlignment="1">
      <x:alignment horizontal="center" vertical="center"/>
    </x:xf>
    <x:xf numFmtId="0" fontId="19" fillId="33" borderId="12" xfId="0" applyFont="1" applyFill="1" applyBorder="1" applyAlignment="1">
      <x:alignment horizontal="left" vertical="center"/>
    </x:xf>
    <x:xf numFmtId="0" fontId="19" fillId="33" borderId="14" xfId="0" applyFont="1" applyFill="1" applyBorder="1" applyAlignment="1">
      <x:alignment horizontal="left" vertical="center"/>
    </x:xf>
    <x:xf numFmtId="3" fontId="19" fillId="35" borderId="10" xfId="0" applyNumberFormat="1" applyFont="1" applyFill="1" applyBorder="1" applyAlignment="1">
      <x:alignment horizontal="center"/>
    </x:xf>
    <x:xf numFmtId="0" fontId="18" fillId="0" borderId="14" xfId="0" applyFont="1" applyBorder="1" applyAlignment="1">
      <x:alignment vertical="center"/>
    </x:xf>
    <x:xf numFmtId="0" fontId="18" fillId="0" borderId="13" xfId="0" applyFont="1" applyBorder="1" applyAlignment="1">
      <x:alignment vertical="center"/>
    </x:xf>
    <x:xf numFmtId="0" fontId="25" fillId="34" borderId="12" xfId="0" applyFont="1" applyFill="1" applyBorder="1" applyAlignment="1">
      <x:alignment vertical="center"/>
    </x:xf>
    <x:xf numFmtId="0" fontId="25" fillId="34" borderId="13" xfId="0" applyFont="1" applyFill="1" applyBorder="1" applyAlignment="1">
      <x:alignment vertical="center"/>
    </x:xf>
    <x:xf numFmtId="10" fontId="21" fillId="34" borderId="10" xfId="1" applyNumberFormat="1" applyFont="1" applyFill="1" applyBorder="1" applyAlignment="1">
      <x:alignment horizontal="center" vertical="center"/>
    </x:xf>
    <x:xf numFmtId="0" fontId="25" fillId="34" borderId="22" xfId="0" applyFont="1" applyFill="1" applyBorder="1" applyAlignment="1">
      <x:alignment vertical="center"/>
    </x:xf>
    <x:xf numFmtId="0" fontId="25" fillId="34" borderId="22" xfId="0" applyFont="1" applyFill="1" applyBorder="1" applyAlignment="1">
      <x:alignment horizontal="center" vertical="center"/>
    </x:xf>
    <x:xf numFmtId="0" fontId="21" fillId="34" borderId="10" xfId="0" applyFont="1" applyFill="1" applyBorder="1" applyAlignment="1">
      <x:alignment horizontal="center" vertical="center"/>
    </x:xf>
    <x:xf numFmtId="9" fontId="18" fillId="0" borderId="10" xfId="0" applyNumberFormat="1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21" fillId="0" borderId="0" xfId="0" applyFont="1" applyAlignment="1">
      <x:alignment horizontal="center" vertical="center"/>
    </x:xf>
    <x:xf numFmtId="4" fontId="18" fillId="0" borderId="10" xfId="0" applyNumberFormat="1" applyFont="1" applyBorder="1" applyAlignment="1">
      <x:alignment horizontal="center" vertical="center"/>
    </x:xf>
    <x:xf numFmtId="4" fontId="22" fillId="34" borderId="10" xfId="0" applyNumberFormat="1" applyFont="1" applyFill="1" applyBorder="1" applyAlignment="1">
      <x:alignment horizontal="center" vertical="center"/>
    </x:xf>
    <x:xf numFmtId="0" fontId="21" fillId="0" borderId="0" xfId="0" applyFont="1"/>
    <x:xf numFmtId="0" fontId="23" fillId="0" borderId="0" xfId="0" applyFont="1" applyAlignment="1">
      <x:alignment vertical="center"/>
    </x:xf>
    <x:xf numFmtId="0" fontId="18" fillId="0" borderId="0" xfId="0" applyFont="1" applyAlignment="1">
      <x:alignment horizontal="center" vertical="center"/>
    </x:xf>
    <x:xf numFmtId="0" fontId="28" fillId="33" borderId="0" xfId="0" applyFont="1" applyFill="1"/>
    <x:xf numFmtId="0" fontId="25" fillId="0" borderId="0" xfId="0" applyFont="1" applyAlignment="1">
      <x:alignment vertical="center"/>
    </x:xf>
    <x:xf numFmtId="0" fontId="21" fillId="34" borderId="12" xfId="0" applyFont="1" applyFill="1" applyBorder="1"/>
    <x:xf numFmtId="0" fontId="21" fillId="34" borderId="13" xfId="0" applyFont="1" applyFill="1" applyBorder="1"/>
    <x:xf numFmtId="9" fontId="18" fillId="33" borderId="10" xfId="1" applyFont="1" applyFill="1" applyBorder="1" applyAlignment="1">
      <x:alignment horizontal="center"/>
    </x:xf>
    <x:xf numFmtId="0" fontId="27" fillId="33" borderId="0" xfId="0" applyFont="1" applyFill="1" applyAlignment="1">
      <x:alignment horizontal="center"/>
    </x:xf>
    <x:xf numFmtId="9" fontId="18" fillId="33" borderId="10" xfId="1" applyFont="1" applyFill="1" applyBorder="1" applyAlignment="1">
      <x:alignment horizontal="center" vertical="center"/>
    </x:xf>
    <x:xf numFmtId="4" fontId="18" fillId="33" borderId="10" xfId="0" applyNumberFormat="1" applyFont="1" applyFill="1" applyBorder="1" applyAlignment="1">
      <x:alignment horizontal="center" vertical="center"/>
    </x:xf>
    <x:xf numFmtId="9" fontId="18" fillId="0" borderId="10" xfId="1" applyFont="1" applyBorder="1" applyAlignment="1">
      <x:alignment horizontal="center" vertical="center"/>
    </x:xf>
    <x:xf numFmtId="0" fontId="20" fillId="0" borderId="0" xfId="0" applyFont="1"/>
    <x:xf numFmtId="0" fontId="19" fillId="0" borderId="0" xfId="0" applyFont="1" applyAlignment="1">
      <x:alignment vertical="center" wrapText="1"/>
    </x:xf>
    <x:xf numFmtId="3" fontId="18" fillId="0" borderId="0" xfId="0" applyNumberFormat="1" applyFont="1" applyAlignment="1">
      <x:alignment vertical="center"/>
    </x:xf>
    <x:xf numFmtId="0" fontId="19" fillId="0" borderId="0" xfId="0" applyFont="1" applyAlignment="1">
      <x:alignment vertical="center"/>
    </x:xf>
    <x:xf numFmtId="9" fontId="19" fillId="0" borderId="0" xfId="0" applyNumberFormat="1" applyFont="1" applyAlignment="1">
      <x:alignment horizontal="center" vertical="center"/>
    </x:xf>
    <x:xf numFmtId="0" fontId="21" fillId="34" borderId="10" xfId="0" applyFont="1" applyFill="1" applyBorder="1" applyAlignment="1">
      <x:alignment horizontal="center" vertical="center"/>
    </x:xf>
    <x:xf numFmtId="9" fontId="18" fillId="33" borderId="10" xfId="1" applyFont="1" applyFill="1" applyBorder="1" applyAlignment="1">
      <x:alignment horizontal="center" vertical="center"/>
    </x:xf>
    <x:xf numFmtId="0" fontId="22" fillId="34" borderId="10" xfId="0" applyFont="1" applyFill="1" applyBorder="1"/>
    <x:xf numFmtId="0" fontId="21" fillId="34" borderId="10" xfId="0" applyFont="1" applyFill="1" applyBorder="1"/>
    <x:xf numFmtId="0" fontId="29" fillId="34" borderId="10" xfId="0" applyFont="1" applyFill="1" applyBorder="1" applyAlignment="1">
      <x:alignment vertical="center"/>
    </x:xf>
    <x:xf numFmtId="0" fontId="18" fillId="0" borderId="12" xfId="0" applyFont="1" applyBorder="1" applyAlignment="1">
      <x:alignment vertical="center"/>
    </x:xf>
    <x:xf numFmtId="0" fontId="32" fillId="33" borderId="0" xfId="0" applyFont="1" applyFill="1"/>
    <x:xf numFmtId="0" fontId="32" fillId="0" borderId="0" xfId="0" applyFont="1"/>
    <x:xf numFmtId="0" fontId="33" fillId="33" borderId="0" xfId="0" applyFont="1" applyFill="1"/>
    <x:xf numFmtId="0" fontId="32" fillId="33" borderId="0" xfId="0" applyFont="1" applyFill="1" applyAlignment="1">
      <x:alignment horizontal="center"/>
    </x:xf>
    <x:xf numFmtId="0" fontId="34" fillId="34" borderId="10" xfId="0" applyFont="1" applyFill="1" applyBorder="1" applyAlignment="1">
      <x:alignment horizontal="center" vertical="center"/>
    </x:xf>
    <x:xf numFmtId="0" fontId="34" fillId="0" borderId="0" xfId="0" applyFont="1"/>
    <x:xf numFmtId="0" fontId="35" fillId="0" borderId="0" xfId="0" applyFont="1"/>
    <x:xf numFmtId="0" fontId="36" fillId="0" borderId="0" xfId="0" applyFont="1"/>
    <x:xf numFmtId="3" fontId="32" fillId="0" borderId="10" xfId="0" applyNumberFormat="1" applyFont="1" applyBorder="1" applyAlignment="1">
      <x:alignment horizontal="left" vertical="center"/>
    </x:xf>
    <x:xf numFmtId="3" fontId="32" fillId="0" borderId="10" xfId="0" applyNumberFormat="1" applyFont="1" applyBorder="1" applyAlignment="1">
      <x:alignment horizontal="left"/>
    </x:xf>
    <x:xf numFmtId="0" fontId="37" fillId="0" borderId="0" xfId="0" applyFont="1" applyAlignment="1">
      <x:alignment vertical="center"/>
    </x:xf>
    <x:xf numFmtId="0" fontId="37" fillId="0" borderId="0" xfId="0" applyFont="1" applyAlignment="1">
      <x:alignment horizontal="center" vertical="center"/>
    </x:xf>
    <x:xf numFmtId="3" fontId="36" fillId="35" borderId="10" xfId="0" applyNumberFormat="1" applyFont="1" applyFill="1" applyBorder="1" applyAlignment="1">
      <x:alignment horizontal="center" vertical="center"/>
    </x:xf>
    <x:xf numFmtId="3" fontId="36" fillId="35" borderId="10" xfId="0" applyNumberFormat="1" applyFont="1" applyFill="1" applyBorder="1"/>
    <x:xf numFmtId="3" fontId="36" fillId="35" borderId="10" xfId="0" applyNumberFormat="1" applyFont="1" applyFill="1" applyBorder="1" applyAlignment="1">
      <x:alignment horizontal="center"/>
    </x:xf>
    <x:xf numFmtId="0" fontId="38" fillId="0" borderId="0" xfId="0" applyFont="1"/>
    <x:xf numFmtId="0" fontId="39" fillId="34" borderId="12" xfId="0" applyFont="1" applyFill="1" applyBorder="1" applyAlignment="1">
      <x:alignment vertical="center"/>
    </x:xf>
    <x:xf numFmtId="0" fontId="39" fillId="34" borderId="13" xfId="0" applyFont="1" applyFill="1" applyBorder="1" applyAlignment="1">
      <x:alignment vertical="center"/>
    </x:xf>
    <x:xf numFmtId="10" fontId="34" fillId="34" borderId="10" xfId="1" applyNumberFormat="1" applyFont="1" applyFill="1" applyBorder="1" applyAlignment="1">
      <x:alignment horizontal="center" vertical="center"/>
    </x:xf>
    <x:xf numFmtId="0" fontId="32" fillId="33" borderId="10" xfId="0" applyFont="1" applyFill="1" applyBorder="1" applyAlignment="1">
      <x:alignment horizontal="center" vertical="center"/>
    </x:xf>
    <x:xf numFmtId="0" fontId="32" fillId="0" borderId="12" xfId="0" applyFont="1" applyBorder="1" applyAlignment="1">
      <x:alignment vertical="center"/>
    </x:xf>
    <x:xf numFmtId="0" fontId="32" fillId="0" borderId="13" xfId="0" applyFont="1" applyBorder="1" applyAlignment="1">
      <x:alignment vertical="center"/>
    </x:xf>
    <x:xf numFmtId="0" fontId="32" fillId="0" borderId="14" xfId="0" applyFont="1" applyBorder="1" applyAlignment="1">
      <x:alignment vertical="center"/>
    </x:xf>
    <x:xf numFmtId="9" fontId="32" fillId="33" borderId="10" xfId="1" applyFont="1" applyFill="1" applyBorder="1" applyAlignment="1">
      <x:alignment horizontal="center" vertical="center"/>
    </x:xf>
    <x:xf numFmtId="0" fontId="39" fillId="34" borderId="10" xfId="0" applyFont="1" applyFill="1" applyBorder="1" applyAlignment="1">
      <x:alignment vertical="center"/>
    </x:xf>
    <x:xf numFmtId="0" fontId="39" fillId="34" borderId="10" xfId="0" applyFont="1" applyFill="1" applyBorder="1" applyAlignment="1">
      <x:alignment horizontal="center" vertical="center"/>
    </x:xf>
    <x:xf numFmtId="0" fontId="32" fillId="33" borderId="0" xfId="0" applyFont="1" applyFill="1" applyAlignment="1">
      <x:alignment horizontal="center" vertical="center"/>
    </x:xf>
    <x:xf numFmtId="0" fontId="32" fillId="0" borderId="0" xfId="0" applyFont="1" applyAlignment="1">
      <x:alignment vertical="center"/>
    </x:xf>
    <x:xf numFmtId="4" fontId="32" fillId="33" borderId="0" xfId="0" applyNumberFormat="1" applyFont="1" applyFill="1"/>
    <x:xf numFmtId="9" fontId="32" fillId="0" borderId="0" xfId="1" applyFont="1" applyBorder="1"/>
    <x:xf numFmtId="9" fontId="32" fillId="33" borderId="0" xfId="1" applyFont="1" applyFill="1" applyBorder="1" applyAlignment="1"/>
    <x:xf numFmtId="0" fontId="34" fillId="34" borderId="14" xfId="0" applyFont="1" applyFill="1" applyBorder="1" applyAlignment="1">
      <x:alignment horizontal="center" vertical="center"/>
    </x:xf>
    <x:xf numFmtId="9" fontId="32" fillId="0" borderId="10" xfId="0" applyNumberFormat="1" applyFont="1" applyBorder="1" applyAlignment="1">
      <x:alignment horizontal="center" vertical="center"/>
    </x:xf>
    <x:xf numFmtId="4" fontId="32" fillId="0" borderId="10" xfId="0" applyNumberFormat="1" applyFont="1" applyBorder="1" applyAlignment="1">
      <x:alignment horizontal="center" vertical="center"/>
    </x:xf>
    <x:xf numFmtId="165" fontId="32" fillId="0" borderId="10" xfId="0" applyNumberFormat="1" applyFont="1" applyBorder="1" applyAlignment="1">
      <x:alignment horizontal="center" vertical="center"/>
    </x:xf>
    <x:xf numFmtId="4" fontId="35" fillId="34" borderId="10" xfId="0" applyNumberFormat="1" applyFont="1" applyFill="1" applyBorder="1" applyAlignment="1">
      <x:alignment horizontal="center"/>
    </x:xf>
    <x:xf numFmtId="0" fontId="32" fillId="0" borderId="0" xfId="0" applyFont="1" applyAlignment="1">
      <x:alignment horizontal="left"/>
    </x:xf>
    <x:xf numFmtId="0" fontId="39" fillId="34" borderId="10" xfId="0" applyFont="1" applyFill="1" applyBorder="1" applyAlignment="1">
      <x:alignment horizontal="left" vertical="center"/>
    </x:xf>
    <x:xf numFmtId="0" fontId="32" fillId="0" borderId="10" xfId="0" applyFont="1" applyBorder="1" applyAlignment="1">
      <x:alignment horizontal="left" vertical="center"/>
    </x:xf>
    <x:xf numFmtId="0" fontId="34" fillId="34" borderId="10" xfId="0" applyFont="1" applyFill="1" applyBorder="1" applyAlignment="1">
      <x:alignment horizontal="center" vertical="center" wrapText="1"/>
    </x:xf>
    <x:xf numFmtId="0" fontId="34" fillId="34" borderId="14" xfId="0" applyFont="1" applyFill="1" applyBorder="1" applyAlignment="1">
      <x:alignment horizontal="left" vertical="center"/>
    </x:xf>
    <x:xf numFmtId="0" fontId="34" fillId="34" borderId="10" xfId="0" applyFont="1" applyFill="1" applyBorder="1" applyAlignment="1">
      <x:alignment horizontal="left" vertical="center"/>
    </x:xf>
    <x:xf numFmtId="0" fontId="34" fillId="34" borderId="10" xfId="0" applyFont="1" applyFill="1" applyBorder="1" applyAlignment="1">
      <x:alignment horizontal="center" vertical="center"/>
    </x:xf>
    <x:xf numFmtId="0" fontId="34" fillId="34" borderId="10" xfId="0" applyFont="1" applyFill="1" applyBorder="1" applyAlignment="1">
      <x:alignment horizontal="left"/>
    </x:xf>
    <x:xf numFmtId="0" fontId="39" fillId="34" borderId="12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left" vertical="center"/>
    </x:xf>
    <x:xf numFmtId="0" fontId="39" fillId="34" borderId="14" xfId="0" applyFont="1" applyFill="1" applyBorder="1" applyAlignment="1">
      <x:alignment horizontal="left" vertical="center"/>
    </x:xf>
    <x:xf numFmtId="0" fontId="32" fillId="0" borderId="0" xfId="0" applyFont="1" applyAlignment="1">
      <x:alignment horizontal="left"/>
    </x:xf>
    <x:xf numFmtId="3" fontId="32" fillId="0" borderId="14" xfId="0" applyNumberFormat="1" applyFont="1" applyBorder="1" applyAlignment="1">
      <x:alignment horizontal="center" vertical="center"/>
    </x:xf>
    <x:xf numFmtId="0" fontId="36" fillId="33" borderId="12" xfId="0" applyFont="1" applyFill="1" applyBorder="1" applyAlignment="1">
      <x:alignment horizontal="left" vertical="center"/>
    </x:xf>
    <x:xf numFmtId="0" fontId="36" fillId="33" borderId="14" xfId="0" applyFont="1" applyFill="1" applyBorder="1" applyAlignment="1">
      <x:alignment horizontal="left" vertical="center"/>
    </x:xf>
    <x:xf numFmtId="0" fontId="34" fillId="34" borderId="18" xfId="0" applyFont="1" applyFill="1" applyBorder="1" applyAlignment="1">
      <x:alignment horizontal="center" vertical="center" wrapText="1"/>
    </x:xf>
    <x:xf numFmtId="0" fontId="32" fillId="0" borderId="0" xfId="0" applyFont="1" applyAlignment="1">
      <x:alignment horizontal="left" vertical="center"/>
    </x:xf>
    <x:xf numFmtId="0" fontId="32" fillId="0" borderId="23" xfId="0" applyFont="1" applyBorder="1" applyAlignment="1">
      <x:alignment horizontal="left" vertical="center"/>
    </x:xf>
    <x:xf numFmtId="0" fontId="34" fillId="34" borderId="10" xfId="0" applyFont="1" applyFill="1" applyBorder="1" applyAlignment="1">
      <x:alignment horizontal="center" vertical="center"/>
    </x:xf>
    <x:xf numFmtId="0" fontId="18" fillId="33" borderId="0" xfId="0" applyFont="1" applyFill="1" applyBorder="1"/>
    <x:xf numFmtId="0" fontId="18" fillId="0" borderId="0" xfId="0" applyFont="1" applyBorder="1"/>
    <x:xf numFmtId="0" fontId="34" fillId="0" borderId="0" xfId="0" applyFont="1" applyBorder="1"/>
    <x:xf numFmtId="0" fontId="36" fillId="0" borderId="0" xfId="0" applyFont="1" applyBorder="1"/>
    <x:xf numFmtId="0" fontId="32" fillId="0" borderId="0" xfId="0" applyFont="1" applyBorder="1"/>
    <x:xf numFmtId="0" fontId="37" fillId="0" borderId="0" xfId="0" applyFont="1" applyBorder="1" applyAlignment="1">
      <x:alignment vertical="center"/>
    </x:xf>
    <x:xf numFmtId="0" fontId="32" fillId="33" borderId="0" xfId="0" applyFont="1" applyFill="1" applyBorder="1"/>
    <x:xf numFmtId="0" fontId="35" fillId="0" borderId="0" xfId="0" applyFont="1" applyBorder="1"/>
    <x:xf numFmtId="0" fontId="37" fillId="0" borderId="0" xfId="0" applyFont="1" applyBorder="1" applyAlignment="1">
      <x:alignment horizontal="center" vertical="center"/>
    </x:xf>
    <x:xf numFmtId="9" fontId="32" fillId="0" borderId="10" xfId="1" applyFont="1" applyFill="1" applyBorder="1" applyAlignment="1">
      <x:alignment horizontal="center" vertical="center"/>
    </x:xf>
    <x:xf numFmtId="0" fontId="32" fillId="0" borderId="0" xfId="0" applyFont="1" applyAlignment="1">
      <x:alignment horizontal="left"/>
    </x:xf>
    <x:xf numFmtId="0" fontId="34" fillId="34" borderId="10" xfId="0" applyFont="1" applyFill="1" applyBorder="1" applyAlignment="1">
      <x:alignment horizontal="center" vertical="center"/>
    </x:xf>
    <x:xf numFmtId="0" fontId="34" fillId="34" borderId="10" xfId="0" applyFont="1" applyFill="1" applyBorder="1" applyAlignment="1">
      <x:alignment horizontal="center" vertical="center"/>
    </x:xf>
    <x:xf numFmtId="0" fontId="32" fillId="0" borderId="0" xfId="0" applyFont="1" applyAlignment="1">
      <x:alignment horizontal="left"/>
    </x:xf>
    <x:xf numFmtId="0" fontId="39" fillId="34" borderId="13" xfId="0" applyFont="1" applyFill="1" applyBorder="1" applyAlignment="1">
      <x:alignment horizontal="left" vertical="center"/>
    </x:xf>
    <x:xf numFmtId="0" fontId="39" fillId="34" borderId="14" xfId="0" applyFont="1" applyFill="1" applyBorder="1" applyAlignment="1">
      <x:alignment horizontal="left" vertical="center"/>
    </x:xf>
    <x:xf numFmtId="0" fontId="32" fillId="0" borderId="0" xfId="0" applyFont="1" applyFill="1"/>
    <x:xf numFmtId="0" fontId="32" fillId="0" borderId="0" xfId="0" applyFont="1" applyFill="1" applyBorder="1"/>
    <x:xf numFmtId="0" fontId="34" fillId="34" borderId="10" xfId="0" applyFont="1" applyFill="1" applyBorder="1" applyAlignment="1">
      <x:alignment horizontal="center" vertical="center"/>
    </x:xf>
    <x:xf numFmtId="9" fontId="32" fillId="0" borderId="10" xfId="1" applyFont="1" applyBorder="1" applyAlignment="1">
      <x:alignment horizontal="left"/>
    </x:xf>
    <x:xf numFmtId="0" fontId="32" fillId="0" borderId="0" xfId="0" applyFont="1" applyFill="1" applyBorder="1" applyAlignment="1">
      <x:alignment horizontal="center" vertical="center"/>
    </x:xf>
    <x:xf numFmtId="0" fontId="32" fillId="0" borderId="0" xfId="0" applyFont="1" applyFill="1" applyBorder="1" applyAlignment="1">
      <x:alignment horizontal="left" vertical="center"/>
    </x:xf>
    <x:xf numFmtId="165" fontId="32" fillId="0" borderId="0" xfId="1" applyNumberFormat="1" applyFont="1" applyFill="1" applyBorder="1" applyAlignment="1">
      <x:alignment horizontal="center" vertical="center"/>
    </x:xf>
    <x:xf numFmtId="0" fontId="32" fillId="0" borderId="10" xfId="0" applyFont="1" applyFill="1" applyBorder="1" applyAlignment="1">
      <x:alignment horizontal="center" vertical="center"/>
    </x:xf>
    <x:xf numFmtId="0" fontId="32" fillId="0" borderId="12" xfId="0" applyFont="1" applyFill="1" applyBorder="1" applyAlignment="1">
      <x:alignment vertical="center"/>
    </x:xf>
    <x:xf numFmtId="0" fontId="32" fillId="0" borderId="13" xfId="0" applyFont="1" applyFill="1" applyBorder="1" applyAlignment="1">
      <x:alignment vertical="center"/>
    </x:xf>
    <x:xf numFmtId="0" fontId="32" fillId="0" borderId="14" xfId="0" applyFont="1" applyFill="1" applyBorder="1" applyAlignment="1">
      <x:alignment vertical="center"/>
    </x:xf>
    <x:xf numFmtId="0" fontId="34" fillId="34" borderId="10" xfId="0" applyFont="1" applyFill="1" applyBorder="1" applyAlignment="1">
      <x:alignment horizontal="center" vertical="center"/>
    </x:xf>
    <x:xf numFmtId="0" fontId="33" fillId="33" borderId="0" xfId="0" applyFont="1" applyFill="1" applyBorder="1" applyAlignment="1"/>
    <x:xf numFmtId="49" fontId="33" fillId="33" borderId="0" xfId="0" applyNumberFormat="1" applyFont="1" applyFill="1" applyBorder="1" applyAlignment="1"/>
    <x:xf numFmtId="0" fontId="39" fillId="34" borderId="13" xfId="0" applyFont="1" applyFill="1" applyBorder="1" applyAlignment="1">
      <x:alignment horizontal="center" vertical="center"/>
    </x:xf>
    <x:xf numFmtId="166" fontId="32" fillId="33" borderId="10" xfId="1" applyNumberFormat="1" applyFont="1" applyFill="1" applyBorder="1" applyAlignment="1">
      <x:alignment horizontal="center" vertical="center"/>
    </x:xf>
    <x:xf numFmtId="166" fontId="32" fillId="0" borderId="10" xfId="1" applyNumberFormat="1" applyFont="1" applyFill="1" applyBorder="1" applyAlignment="1">
      <x:alignment horizontal="center" vertical="center"/>
    </x:xf>
    <x:xf numFmtId="0" fontId="32" fillId="0" borderId="10" xfId="1" applyNumberFormat="1" applyFont="1" applyFill="1" applyBorder="1" applyAlignment="1">
      <x:alignment horizontal="center" vertical="center"/>
    </x:xf>
    <x:xf numFmtId="0" fontId="39" fillId="34" borderId="14" xfId="0" applyFont="1" applyFill="1" applyBorder="1" applyAlignment="1">
      <x:alignment horizontal="center" vertical="center"/>
    </x:xf>
    <x:xf numFmtId="0" fontId="32" fillId="0" borderId="10" xfId="0" applyFont="1" applyBorder="1" applyAlignment="1">
      <x:alignment horizontal="center" vertical="center"/>
    </x:xf>
    <x:xf numFmtId="49" fontId="40" fillId="33" borderId="0" xfId="0" applyNumberFormat="1" applyFont="1" applyFill="1" applyBorder="1" applyAlignment="1"/>
    <x:xf numFmtId="0" fontId="42" fillId="33" borderId="0" xfId="0" applyFont="1" applyFill="1" applyBorder="1"/>
    <x:xf numFmtId="0" fontId="42" fillId="0" borderId="0" xfId="0" applyFont="1" applyBorder="1"/>
    <x:xf numFmtId="0" fontId="42" fillId="0" borderId="0" xfId="0" applyFont="1"/>
    <x:xf numFmtId="0" fontId="43" fillId="33" borderId="0" xfId="0" applyFont="1" applyFill="1"/>
    <x:xf numFmtId="0" fontId="42" fillId="33" borderId="0" xfId="0" applyFont="1" applyFill="1" applyAlignment="1">
      <x:alignment horizontal="center"/>
    </x:xf>
    <x:xf numFmtId="0" fontId="42" fillId="33" borderId="0" xfId="0" applyFont="1" applyFill="1"/>
    <x:xf numFmtId="0" fontId="44" fillId="0" borderId="0" xfId="0" applyFont="1" applyBorder="1"/>
    <x:xf numFmtId="0" fontId="44" fillId="0" borderId="0" xfId="0" applyFont="1"/>
    <x:xf numFmtId="0" fontId="45" fillId="0" borderId="0" xfId="0" applyFont="1" applyBorder="1"/>
    <x:xf numFmtId="0" fontId="46" fillId="0" borderId="0" xfId="0" applyFont="1" applyBorder="1"/>
    <x:xf numFmtId="0" fontId="45" fillId="34" borderId="10" xfId="0" applyFont="1" applyFill="1" applyBorder="1" applyAlignment="1">
      <x:alignment horizontal="center" vertical="center"/>
    </x:xf>
    <x:xf numFmtId="3" fontId="42" fillId="0" borderId="14" xfId="0" applyNumberFormat="1" applyFont="1" applyBorder="1" applyAlignment="1">
      <x:alignment horizontal="center" vertical="center"/>
    </x:xf>
    <x:xf numFmtId="3" fontId="42" fillId="0" borderId="10" xfId="0" applyNumberFormat="1" applyFont="1" applyBorder="1" applyAlignment="1">
      <x:alignment horizontal="left" vertical="center" wrapText="1"/>
    </x:xf>
    <x:xf numFmtId="0" fontId="47" fillId="0" borderId="0" xfId="0" applyFont="1" applyBorder="1" applyAlignment="1">
      <x:alignment horizontal="center" vertical="center"/>
    </x:xf>
    <x:xf numFmtId="3" fontId="42" fillId="0" borderId="10" xfId="0" applyNumberFormat="1" applyFont="1" applyBorder="1" applyAlignment="1">
      <x:alignment horizontal="left" wrapText="1"/>
    </x:xf>
    <x:xf numFmtId="0" fontId="47" fillId="0" borderId="0" xfId="0" applyFont="1" applyBorder="1" applyAlignment="1">
      <x:alignment vertical="center"/>
    </x:xf>
    <x:xf numFmtId="3" fontId="46" fillId="35" borderId="10" xfId="0" applyNumberFormat="1" applyFont="1" applyFill="1" applyBorder="1" applyAlignment="1">
      <x:alignment horizontal="center" vertical="center"/>
    </x:xf>
    <x:xf numFmtId="3" fontId="46" fillId="35" borderId="10" xfId="0" applyNumberFormat="1" applyFont="1" applyFill="1" applyBorder="1"/>
    <x:xf numFmtId="3" fontId="46" fillId="35" borderId="10" xfId="0" applyNumberFormat="1" applyFont="1" applyFill="1" applyBorder="1" applyAlignment="1">
      <x:alignment horizontal="center"/>
    </x:xf>
    <x:xf numFmtId="0" fontId="42" fillId="0" borderId="0" xfId="0" applyFont="1" applyBorder="1" applyAlignment="1">
      <x:alignment wrapText="1"/>
    </x:xf>
    <x:xf numFmtId="0" fontId="45" fillId="0" borderId="0" xfId="0" applyFont="1" applyAlignment="1">
      <x:alignment horizontal="center" vertical="center"/>
    </x:xf>
    <x:xf numFmtId="0" fontId="45" fillId="0" borderId="0" xfId="0" applyFont="1" applyAlignment="1">
      <x:alignment vertical="center"/>
    </x:xf>
    <x:xf numFmtId="0" fontId="42" fillId="0" borderId="0" xfId="0" applyFont="1" applyAlignment="1">
      <x:alignment wrapText="1"/>
    </x:xf>
    <x:xf numFmtId="0" fontId="42" fillId="0" borderId="0" xfId="0" applyFont="1" applyAlignment="1">
      <x:alignment vertical="center"/>
    </x:xf>
    <x:xf numFmtId="0" fontId="42" fillId="0" borderId="0" xfId="0" applyFont="1" applyAlignment="1">
      <x:alignment horizontal="center"/>
    </x:xf>
    <x:xf numFmtId="0" fontId="48" fillId="0" borderId="0" xfId="0" applyFont="1" applyBorder="1"/>
    <x:xf numFmtId="0" fontId="49" fillId="34" borderId="10" xfId="0" applyFont="1" applyFill="1" applyBorder="1" applyAlignment="1">
      <x:alignment vertical="center"/>
    </x:xf>
    <x:xf numFmtId="10" fontId="45" fillId="34" borderId="10" xfId="1" applyNumberFormat="1" applyFont="1" applyFill="1" applyBorder="1" applyAlignment="1">
      <x:alignment horizontal="center" vertical="center"/>
    </x:xf>
    <x:xf numFmtId="0" fontId="42" fillId="33" borderId="10" xfId="0" applyFont="1" applyFill="1" applyBorder="1" applyAlignment="1">
      <x:alignment horizontal="center" vertical="center"/>
    </x:xf>
    <x:xf numFmtId="9" fontId="42" fillId="33" borderId="10" xfId="1" applyFont="1" applyFill="1" applyBorder="1" applyAlignment="1">
      <x:alignment horizontal="center"/>
    </x:xf>
    <x:xf numFmtId="0" fontId="45" fillId="34" borderId="10" xfId="0" applyFont="1" applyFill="1" applyBorder="1" applyAlignment="1">
      <x:alignment horizontal="center" vertical="center" wrapText="1"/>
    </x:xf>
    <x:xf numFmtId="0" fontId="45" fillId="34" borderId="18" xfId="0" applyFont="1" applyFill="1" applyBorder="1" applyAlignment="1">
      <x:alignment horizontal="center" vertical="center" wrapText="1"/>
    </x:xf>
    <x:xf numFmtId="165" fontId="42" fillId="0" borderId="10" xfId="0" applyNumberFormat="1" applyFont="1" applyBorder="1" applyAlignment="1">
      <x:alignment horizontal="center" vertical="center"/>
    </x:xf>
    <x:xf numFmtId="4" fontId="44" fillId="34" borderId="10" xfId="0" applyNumberFormat="1" applyFont="1" applyFill="1" applyBorder="1" applyAlignment="1">
      <x:alignment horizontal="center"/>
    </x:xf>
    <x:xf numFmtId="0" fontId="49" fillId="34" borderId="12" xfId="0" applyFont="1" applyFill="1" applyBorder="1" applyAlignment="1">
      <x:alignment horizontal="left" vertical="center"/>
    </x:xf>
    <x:xf numFmtId="0" fontId="49" fillId="34" borderId="13" xfId="0" applyFont="1" applyFill="1" applyBorder="1" applyAlignment="1">
      <x:alignment horizontal="left" vertical="center"/>
    </x:xf>
    <x:xf numFmtId="0" fontId="49" fillId="34" borderId="13" xfId="0" applyFont="1" applyFill="1" applyBorder="1" applyAlignment="1">
      <x:alignment horizontal="center" vertical="center"/>
    </x:xf>
    <x:xf numFmtId="0" fontId="49" fillId="34" borderId="14" xfId="0" applyFont="1" applyFill="1" applyBorder="1" applyAlignment="1">
      <x:alignment horizontal="center" vertical="center"/>
    </x:xf>
    <x:xf numFmtId="0" fontId="42" fillId="0" borderId="10" xfId="0" applyNumberFormat="1" applyFont="1" applyBorder="1" applyAlignment="1">
      <x:alignment horizontal="center" vertical="center"/>
    </x:xf>
    <x:xf numFmtId="0" fontId="39" fillId="34" borderId="12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center" vertical="center"/>
    </x:xf>
    <x:xf numFmtId="0" fontId="39" fillId="34" borderId="14" xfId="0" applyFont="1" applyFill="1" applyBorder="1" applyAlignment="1">
      <x:alignment horizontal="center" vertical="center"/>
    </x:xf>
    <x:xf numFmtId="0" fontId="38" fillId="0" borderId="0" xfId="0" applyFont="1" applyFill="1"/>
    <x:xf numFmtId="10" fontId="0" fillId="0" borderId="0" xfId="0" applyNumberFormat="1"/>
    <x:xf numFmtId="0" fontId="38" fillId="0" borderId="0" xfId="0" applyFont="1" applyFill="1" applyBorder="1"/>
    <x:xf numFmtId="0" fontId="0" fillId="0" borderId="10" xfId="0" applyBorder="1"/>
    <x:xf numFmtId="1" fontId="0" fillId="0" borderId="10" xfId="0" applyNumberFormat="1" applyBorder="1"/>
    <x:xf numFmtId="167" fontId="0" fillId="0" borderId="10" xfId="0" applyNumberFormat="1" applyBorder="1"/>
    <x:xf numFmtId="0" fontId="0" fillId="0" borderId="10" xfId="0" applyNumberFormat="1" applyBorder="1"/>
    <x:xf numFmtId="0" fontId="0" fillId="0" borderId="18" xfId="0" applyBorder="1"/>
    <x:xf numFmtId="1" fontId="0" fillId="0" borderId="18" xfId="0" applyNumberFormat="1" applyBorder="1"/>
    <x:xf numFmtId="167" fontId="0" fillId="0" borderId="18" xfId="0" applyNumberFormat="1" applyBorder="1"/>
    <x:xf numFmtId="0" fontId="34" fillId="34" borderId="10" xfId="0" applyFont="1" applyFill="1" applyBorder="1" applyAlignment="1">
      <x:alignment horizontal="center" vertical="center"/>
    </x:xf>
    <x:xf numFmtId="0" fontId="32" fillId="0" borderId="0" xfId="0" applyFont="1" applyAlignment="1">
      <x:alignment horizontal="left"/>
    </x:xf>
    <x:xf numFmtId="0" fontId="32" fillId="33" borderId="10" xfId="0" applyFont="1" applyFill="1" applyBorder="1" applyAlignment="1">
      <x:alignment horizontal="center" vertical="center"/>
    </x:xf>
    <x:xf numFmtId="0" fontId="39" fillId="34" borderId="12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left" vertical="center"/>
    </x:xf>
    <x:xf numFmtId="0" fontId="39" fillId="34" borderId="14" xfId="0" applyFont="1" applyFill="1" applyBorder="1" applyAlignment="1">
      <x:alignment horizontal="left" vertical="center"/>
    </x:xf>
    <x:xf numFmtId="3" fontId="42" fillId="0" borderId="10" xfId="0" applyNumberFormat="1" applyFont="1" applyBorder="1" applyAlignment="1">
      <x:alignment horizontal="left" vertical="center"/>
    </x:xf>
    <x:xf numFmtId="3" fontId="42" fillId="0" borderId="10" xfId="0" applyNumberFormat="1" applyFont="1" applyFill="1" applyBorder="1" applyAlignment="1">
      <x:alignment horizontal="center" vertical="center"/>
    </x:xf>
    <x:xf numFmtId="0" fontId="32" fillId="33" borderId="10" xfId="0" applyFont="1" applyFill="1" applyBorder="1" applyAlignment="1">
      <x:alignment horizontal="center" vertical="center"/>
    </x:xf>
    <x:xf numFmtId="0" fontId="34" fillId="34" borderId="10" xfId="0" applyFont="1" applyFill="1" applyBorder="1" applyAlignment="1">
      <x:alignment horizontal="center" vertical="center"/>
    </x:xf>
    <x:xf numFmtId="9" fontId="32" fillId="0" borderId="10" xfId="1" applyNumberFormat="1" applyFont="1" applyFill="1" applyBorder="1" applyAlignment="1">
      <x:alignment horizontal="center" vertical="center"/>
    </x:xf>
    <x:xf numFmtId="9" fontId="32" fillId="0" borderId="14" xfId="1" applyFont="1" applyFill="1" applyBorder="1" applyAlignment="1">
      <x:alignment horizontal="center" vertical="center"/>
    </x:xf>
    <x:xf numFmtId="165" fontId="32" fillId="0" borderId="10" xfId="1" applyNumberFormat="1" applyFont="1" applyFill="1" applyBorder="1" applyAlignment="1">
      <x:alignment horizontal="center" vertical="center"/>
    </x:xf>
    <x:xf numFmtId="9" fontId="32" fillId="0" borderId="12" xfId="1" applyFont="1" applyFill="1" applyBorder="1" applyAlignment="1">
      <x:alignment horizontal="center" vertical="center"/>
    </x:xf>
    <x:xf numFmtId="0" fontId="42" fillId="0" borderId="0" xfId="0" applyFont="1" applyFill="1" applyBorder="1"/>
    <x:xf numFmtId="0" fontId="42" fillId="0" borderId="10" xfId="0" applyFont="1" applyFill="1" applyBorder="1" applyAlignment="1">
      <x:alignment horizontal="center" vertical="center"/>
    </x:xf>
    <x:xf numFmtId="0" fontId="42" fillId="0" borderId="10" xfId="0" applyNumberFormat="1" applyFont="1" applyFill="1" applyBorder="1" applyAlignment="1">
      <x:alignment horizontal="center" vertical="center"/>
    </x:xf>
    <x:xf numFmtId="9" fontId="42" fillId="0" borderId="10" xfId="1" applyFont="1" applyFill="1" applyBorder="1" applyAlignment="1">
      <x:alignment horizontal="center"/>
    </x:xf>
    <x:xf numFmtId="9" fontId="42" fillId="0" borderId="10" xfId="1" applyFont="1" applyFill="1" applyBorder="1" applyAlignment="1">
      <x:alignment horizontal="center" vertical="center"/>
    </x:xf>
    <x:xf numFmtId="0" fontId="42" fillId="0" borderId="0" xfId="0" applyFont="1" applyFill="1"/>
    <x:xf numFmtId="1" fontId="42" fillId="0" borderId="10" xfId="1" applyNumberFormat="1" applyFont="1" applyFill="1" applyBorder="1" applyAlignment="1">
      <x:alignment horizontal="center" vertical="center"/>
    </x:xf>
    <x:xf numFmtId="0" fontId="42" fillId="0" borderId="10" xfId="1" applyNumberFormat="1" applyFont="1" applyFill="1" applyBorder="1" applyAlignment="1">
      <x:alignment horizontal="center" vertical="center"/>
    </x:xf>
    <x:xf numFmtId="166" fontId="42" fillId="0" borderId="10" xfId="1" applyNumberFormat="1" applyFont="1" applyFill="1" applyBorder="1" applyAlignment="1">
      <x:alignment horizontal="center" vertical="center"/>
    </x:xf>
    <x:xf numFmtId="9" fontId="32" fillId="0" borderId="13" xfId="1" applyFont="1" applyFill="1" applyBorder="1" applyAlignment="1">
      <x:alignment vertical="center"/>
    </x:xf>
    <x:xf numFmtId="3" fontId="32" fillId="0" borderId="10" xfId="0" applyNumberFormat="1" applyFont="1" applyFill="1" applyBorder="1" applyAlignment="1">
      <x:alignment horizontal="center" vertical="center"/>
    </x:xf>
    <x:xf numFmtId="0" fontId="34" fillId="34" borderId="10" xfId="0" applyFont="1" applyFill="1" applyBorder="1" applyAlignment="1">
      <x:alignment horizontal="center" vertical="center"/>
    </x:xf>
    <x:xf numFmtId="0" fontId="32" fillId="0" borderId="0" xfId="0" applyFont="1" applyAlignment="1">
      <x:alignment horizontal="left"/>
    </x:xf>
    <x:xf numFmtId="0" fontId="34" fillId="34" borderId="10" xfId="0" applyFont="1" applyFill="1" applyBorder="1" applyAlignment="1">
      <x:alignment horizontal="center" vertical="center" wrapText="1"/>
    </x:xf>
    <x:xf numFmtId="0" fontId="32" fillId="33" borderId="10" xfId="0" applyFont="1" applyFill="1" applyBorder="1"/>
    <x:xf numFmtId="0" fontId="32" fillId="0" borderId="0" xfId="0" applyFont="1" applyAlignment="1">
      <x:alignment horizontal="left"/>
    </x:xf>
    <x:xf numFmtId="0" fontId="39" fillId="34" borderId="12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left" vertical="center"/>
    </x:xf>
    <x:xf numFmtId="0" fontId="0" fillId="0" borderId="10" xfId="0" applyBorder="1" applyAlignment="1">
      <x:alignment horizontal="center" vertical="center" wrapText="1"/>
    </x:xf>
    <x:xf numFmtId="0" fontId="39" fillId="34" borderId="13" xfId="0" applyFont="1" applyFill="1" applyBorder="1" applyAlignment="1">
      <x:alignment horizontal="center" vertical="center"/>
    </x:xf>
    <x:xf numFmtId="0" fontId="39" fillId="34" borderId="14" xfId="0" applyFont="1" applyFill="1" applyBorder="1" applyAlignment="1">
      <x:alignment horizontal="center" vertical="center"/>
    </x:xf>
    <x:xf numFmtId="0" fontId="50" fillId="36" borderId="26" xfId="0" applyFont="1" applyFill="1" applyBorder="1" applyAlignment="1">
      <x:alignment horizontal="center" vertical="center" wrapText="1"/>
    </x:xf>
    <x:xf numFmtId="0" fontId="50" fillId="36" borderId="27" xfId="0" applyFont="1" applyFill="1" applyBorder="1" applyAlignment="1">
      <x:alignment horizontal="center" vertical="center" wrapText="1"/>
    </x:xf>
    <x:xf numFmtId="0" fontId="51" fillId="0" borderId="28" xfId="0" applyFont="1" applyBorder="1" applyAlignment="1">
      <x:alignment vertical="center" wrapText="1"/>
    </x:xf>
    <x:xf numFmtId="0" fontId="51" fillId="0" borderId="29" xfId="0" applyFont="1" applyBorder="1" applyAlignment="1">
      <x:alignment horizontal="center" vertical="center" wrapText="1"/>
    </x:xf>
    <x:xf numFmtId="0" fontId="52" fillId="37" borderId="28" xfId="0" applyFont="1" applyFill="1" applyBorder="1" applyAlignment="1">
      <x:alignment vertical="center" wrapText="1"/>
    </x:xf>
    <x:xf numFmtId="0" fontId="52" fillId="37" borderId="29" xfId="0" applyFont="1" applyFill="1" applyBorder="1" applyAlignment="1">
      <x:alignment horizontal="center" vertical="center" wrapText="1"/>
    </x:xf>
    <x:xf numFmtId="0" fontId="42" fillId="37" borderId="29" xfId="0" applyFont="1" applyFill="1" applyBorder="1" applyAlignment="1">
      <x:alignment vertical="center" wrapText="1"/>
    </x:xf>
    <x:xf numFmtId="0" fontId="50" fillId="36" borderId="10" xfId="0" applyFont="1" applyFill="1" applyBorder="1" applyAlignment="1">
      <x:alignment horizontal="center" vertical="center" wrapText="1"/>
    </x:xf>
    <x:xf numFmtId="0" fontId="51" fillId="0" borderId="10" xfId="0" applyFont="1" applyBorder="1" applyAlignment="1">
      <x:alignment horizontal="center" vertical="center" wrapText="1"/>
    </x:xf>
    <x:xf numFmtId="0" fontId="52" fillId="37" borderId="10" xfId="0" applyFont="1" applyFill="1" applyBorder="1" applyAlignment="1">
      <x:alignment horizontal="center" vertical="center" wrapText="1"/>
    </x:xf>
    <x:xf numFmtId="0" fontId="42" fillId="37" borderId="10" xfId="0" applyFont="1" applyFill="1" applyBorder="1" applyAlignment="1">
      <x:alignment vertical="center" wrapText="1"/>
    </x:xf>
    <x:xf numFmtId="3" fontId="32" fillId="38" borderId="10" xfId="0" applyNumberFormat="1" applyFont="1" applyFill="1" applyBorder="1" applyAlignment="1">
      <x:alignment horizontal="center" vertical="center"/>
    </x:xf>
    <x:xf numFmtId="0" fontId="34" fillId="0" borderId="0" xfId="0" applyFont="1" applyFill="1" applyBorder="1" applyAlignment="1">
      <x:alignment horizontal="center" vertical="center"/>
    </x:xf>
    <x:xf numFmtId="0" fontId="34" fillId="0" borderId="0" xfId="0" applyFont="1" applyFill="1" applyBorder="1" applyAlignment="1">
      <x:alignment horizontal="center" vertical="center" wrapText="1"/>
    </x:xf>
    <x:xf numFmtId="0" fontId="32" fillId="0" borderId="0" xfId="0" applyFont="1" applyFill="1" applyBorder="1" applyAlignment="1">
      <x:alignment vertical="center"/>
    </x:xf>
    <x:xf numFmtId="9" fontId="32" fillId="0" borderId="0" xfId="0" applyNumberFormat="1" applyFont="1" applyFill="1" applyBorder="1" applyAlignment="1">
      <x:alignment horizontal="center" vertical="center"/>
    </x:xf>
    <x:xf numFmtId="4" fontId="32" fillId="0" borderId="0" xfId="0" applyNumberFormat="1" applyFont="1" applyFill="1" applyBorder="1" applyAlignment="1">
      <x:alignment horizontal="center" vertical="center"/>
    </x:xf>
    <x:xf numFmtId="0" fontId="34" fillId="0" borderId="0" xfId="0" applyFont="1" applyFill="1" applyBorder="1" applyAlignment="1">
      <x:alignment horizontal="left"/>
    </x:xf>
    <x:xf numFmtId="4" fontId="35" fillId="0" borderId="0" xfId="0" applyNumberFormat="1" applyFont="1" applyFill="1" applyBorder="1" applyAlignment="1">
      <x:alignment horizontal="center"/>
    </x:xf>
    <x:xf numFmtId="0" fontId="32" fillId="0" borderId="10" xfId="0" applyNumberFormat="1" applyFont="1" applyFill="1" applyBorder="1" applyAlignment="1">
      <x:alignment horizontal="center" vertical="center"/>
    </x:xf>
    <x:xf numFmtId="0" fontId="34" fillId="34" borderId="13" xfId="0" applyFont="1" applyFill="1" applyBorder="1" applyAlignment="1">
      <x:alignment horizontal="center" vertical="center"/>
    </x:xf>
    <x:xf numFmtId="0" fontId="0" fillId="0" borderId="0" xfId="0" applyBorder="1" applyAlignment="1">
      <x:alignment vertical="center" wrapText="1"/>
    </x:xf>
    <x:xf numFmtId="0" fontId="13" fillId="34" borderId="10" xfId="0" applyFont="1" applyFill="1" applyBorder="1" applyAlignment="1">
      <x:alignment horizontal="center" vertical="center" wrapText="1"/>
    </x:xf>
    <x:xf numFmtId="0" fontId="39" fillId="34" borderId="12" xfId="0" applyFont="1" applyFill="1" applyBorder="1" applyAlignment="1">
      <x:alignment horizontal="left" vertical="center"/>
    </x:xf>
    <x:xf numFmtId="0" fontId="39" fillId="34" borderId="13" xfId="0" applyFont="1" applyFill="1" applyBorder="1" applyAlignment="1">
      <x:alignment horizontal="left" vertical="center"/>
    </x:xf>
    <x:xf numFmtId="0" fontId="34" fillId="0" borderId="0" xfId="0" applyFont="1" applyFill="1" applyBorder="1" applyAlignment="1">
      <x:alignment horizontal="left" vertical="center" wrapText="1"/>
    </x:xf>
    <x:xf numFmtId="0" fontId="34" fillId="34" borderId="10" xfId="0" applyFont="1" applyFill="1" applyBorder="1" applyAlignment="1">
      <x:alignment horizontal="left" vertical="center"/>
    </x:xf>
    <x:xf numFmtId="0" fontId="33" fillId="33" borderId="0" xfId="0" applyFont="1" applyFill="1" applyBorder="1" applyAlignment="1">
      <x:alignment horizontal="center"/>
    </x:xf>
    <x:xf numFmtId="17" fontId="33" fillId="33" borderId="0" xfId="0" applyNumberFormat="1" applyFont="1" applyFill="1" applyBorder="1" applyAlignment="1">
      <x:alignment horizontal="center"/>
    </x:xf>
    <x:xf numFmtId="0" fontId="32" fillId="0" borderId="0" xfId="0" applyFont="1" applyAlignment="1">
      <x:alignment horizontal="center" vertical="center"/>
    </x:xf>
    <x:xf numFmtId="0" fontId="32" fillId="33" borderId="10" xfId="0" applyFont="1" applyFill="1" applyBorder="1" applyAlignment="1">
      <x:alignment horizontal="center" vertical="center" wrapText="1"/>
    </x:xf>
    <x:xf numFmtId="0" fontId="32" fillId="33" borderId="10" xfId="0" applyFont="1" applyFill="1" applyBorder="1" applyAlignment="1">
      <x:alignment horizontal="center" vertical="center"/>
    </x:xf>
    <x:xf numFmtId="0" fontId="32" fillId="0" borderId="10" xfId="0" applyFont="1" applyBorder="1" applyAlignment="1">
      <x:alignment horizontal="center" vertical="center"/>
    </x:xf>
    <x:xf numFmtId="0" fontId="32" fillId="0" borderId="22" xfId="0" applyFont="1" applyBorder="1" applyAlignment="1">
      <x:alignment horizontal="center" vertical="center" wrapText="1"/>
    </x:xf>
    <x:xf numFmtId="0" fontId="32" fillId="33" borderId="12" xfId="0" applyFont="1" applyFill="1" applyBorder="1" applyAlignment="1">
      <x:alignment horizontal="center"/>
    </x:xf>
    <x:xf numFmtId="0" fontId="32" fillId="33" borderId="14" xfId="0" applyFont="1" applyFill="1" applyBorder="1" applyAlignment="1">
      <x:alignment horizontal="center"/>
    </x:xf>
    <x:xf numFmtId="0" fontId="34" fillId="34" borderId="20" xfId="0" applyFont="1" applyFill="1" applyBorder="1" applyAlignment="1">
      <x:alignment horizontal="left" vertical="center" wrapText="1"/>
    </x:xf>
    <x:xf numFmtId="0" fontId="34" fillId="34" borderId="0" xfId="0" applyFont="1" applyFill="1" applyBorder="1" applyAlignment="1">
      <x:alignment horizontal="left" vertical="center" wrapText="1"/>
    </x:xf>
    <x:xf numFmtId="0" fontId="34" fillId="34" borderId="23" xfId="0" applyFont="1" applyFill="1" applyBorder="1" applyAlignment="1">
      <x:alignment horizontal="left" vertical="center" wrapText="1"/>
    </x:xf>
    <x:xf numFmtId="0" fontId="34" fillId="34" borderId="19" xfId="0" applyFont="1" applyFill="1" applyBorder="1" applyAlignment="1">
      <x:alignment horizontal="center" vertical="center"/>
    </x:xf>
    <x:xf numFmtId="0" fontId="34" fillId="34" borderId="21" xfId="0" applyFont="1" applyFill="1" applyBorder="1" applyAlignment="1">
      <x:alignment horizontal="center" vertical="center"/>
    </x:xf>
    <x:xf numFmtId="0" fontId="34" fillId="34" borderId="20" xfId="0" applyFont="1" applyFill="1" applyBorder="1" applyAlignment="1">
      <x:alignment horizontal="center" vertical="center"/>
    </x:xf>
    <x:xf numFmtId="0" fontId="34" fillId="34" borderId="23" xfId="0" applyFont="1" applyFill="1" applyBorder="1" applyAlignment="1">
      <x:alignment horizontal="center" vertical="center"/>
    </x:xf>
    <x:xf numFmtId="0" fontId="34" fillId="34" borderId="10" xfId="0" applyFont="1" applyFill="1" applyBorder="1" applyAlignment="1">
      <x:alignment horizontal="center" vertical="center"/>
    </x:xf>
    <x:xf numFmtId="3" fontId="32" fillId="0" borderId="10" xfId="0" applyNumberFormat="1" applyFont="1" applyBorder="1" applyAlignment="1">
      <x:alignment horizontal="center" vertical="center"/>
    </x:xf>
    <x:xf numFmtId="0" fontId="36" fillId="35" borderId="16" xfId="0" applyFont="1" applyFill="1" applyBorder="1" applyAlignment="1">
      <x:alignment horizontal="left"/>
    </x:xf>
    <x:xf numFmtId="0" fontId="36" fillId="35" borderId="24" xfId="0" applyFont="1" applyFill="1" applyBorder="1" applyAlignment="1">
      <x:alignment horizontal="left"/>
    </x:xf>
    <x:xf numFmtId="0" fontId="50" fillId="36" borderId="10" xfId="0" applyFont="1" applyFill="1" applyBorder="1" applyAlignment="1">
      <x:alignment horizontal="center" vertical="center" wrapText="1"/>
    </x:xf>
    <x:xf numFmtId="0" fontId="51" fillId="0" borderId="10" xfId="0" applyFont="1" applyBorder="1" applyAlignment="1">
      <x:alignment horizontal="center" vertical="center" wrapText="1"/>
    </x:xf>
    <x:xf numFmtId="0" fontId="52" fillId="37" borderId="10" xfId="0" applyFont="1" applyFill="1" applyBorder="1" applyAlignment="1">
      <x:alignment horizontal="center" vertical="center" wrapText="1"/>
    </x:xf>
    <x:xf numFmtId="0" fontId="42" fillId="37" borderId="10" xfId="0" applyFont="1" applyFill="1" applyBorder="1" applyAlignment="1">
      <x:alignment horizontal="center" vertical="center" wrapText="1"/>
    </x:xf>
    <x:xf numFmtId="0" fontId="34" fillId="34" borderId="12" xfId="0" applyFont="1" applyFill="1" applyBorder="1" applyAlignment="1">
      <x:alignment horizontal="left" vertical="center" wrapText="1"/>
    </x:xf>
    <x:xf numFmtId="0" fontId="34" fillId="34" borderId="13" xfId="0" applyFont="1" applyFill="1" applyBorder="1" applyAlignment="1">
      <x:alignment horizontal="left" vertical="center" wrapText="1"/>
    </x:xf>
    <x:xf numFmtId="0" fontId="34" fillId="34" borderId="14" xfId="0" applyFont="1" applyFill="1" applyBorder="1" applyAlignment="1">
      <x:alignment horizontal="left" vertical="center" wrapText="1"/>
    </x:xf>
    <x:xf numFmtId="0" fontId="34" fillId="34" borderId="12" xfId="0" applyFont="1" applyFill="1" applyBorder="1" applyAlignment="1">
      <x:alignment horizontal="center" vertical="center" wrapText="1"/>
    </x:xf>
    <x:xf numFmtId="0" fontId="34" fillId="34" borderId="14" xfId="0" applyFont="1" applyFill="1" applyBorder="1" applyAlignment="1">
      <x:alignment horizontal="center" vertical="center" wrapText="1"/>
    </x:xf>
    <x:xf numFmtId="0" fontId="32" fillId="0" borderId="0" xfId="0" applyFont="1" applyAlignment="1">
      <x:alignment horizontal="left"/>
    </x:xf>
    <x:xf numFmtId="0" fontId="32" fillId="0" borderId="12" xfId="0" applyFont="1" applyBorder="1" applyAlignment="1">
      <x:alignment horizontal="left" vertical="center"/>
    </x:xf>
    <x:xf numFmtId="0" fontId="32" fillId="0" borderId="13" xfId="0" applyFont="1" applyBorder="1" applyAlignment="1">
      <x:alignment horizontal="left" vertical="center"/>
    </x:xf>
    <x:xf numFmtId="0" fontId="32" fillId="0" borderId="14" xfId="0" applyFont="1" applyBorder="1" applyAlignment="1">
      <x:alignment horizontal="left" vertical="center"/>
    </x:xf>
    <x:xf numFmtId="0" fontId="27" fillId="33" borderId="0" xfId="0" applyFont="1" applyFill="1" applyAlignment="1">
      <x:alignment horizontal="center"/>
    </x:xf>
    <x:xf numFmtId="49" fontId="26" fillId="33" borderId="0" xfId="0" applyNumberFormat="1" applyFont="1" applyFill="1" applyAlignment="1">
      <x:alignment horizontal="center"/>
    </x:xf>
    <x:xf numFmtId="0" fontId="21" fillId="34" borderId="19" xfId="0" applyFont="1" applyFill="1" applyBorder="1" applyAlignment="1">
      <x:alignment horizontal="center" vertical="center"/>
    </x:xf>
    <x:xf numFmtId="0" fontId="21" fillId="34" borderId="21" xfId="0" applyFont="1" applyFill="1" applyBorder="1" applyAlignment="1">
      <x:alignment horizontal="center" vertical="center"/>
    </x:xf>
    <x:xf numFmtId="0" fontId="21" fillId="34" borderId="20" xfId="0" applyFont="1" applyFill="1" applyBorder="1" applyAlignment="1">
      <x:alignment horizontal="center" vertical="center"/>
    </x:xf>
    <x:xf numFmtId="0" fontId="21" fillId="34" borderId="23" xfId="0" applyFont="1" applyFill="1" applyBorder="1" applyAlignment="1">
      <x:alignment horizontal="center" vertical="center"/>
    </x:xf>
    <x:xf numFmtId="0" fontId="21" fillId="34" borderId="10" xfId="0" applyFont="1" applyFill="1" applyBorder="1" applyAlignment="1">
      <x:alignment horizontal="center" vertical="center"/>
    </x:xf>
    <x:xf numFmtId="3" fontId="18" fillId="0" borderId="10" xfId="0" applyNumberFormat="1" applyFont="1" applyBorder="1" applyAlignment="1">
      <x:alignment horizontal="center" vertical="center"/>
    </x:xf>
    <x:xf numFmtId="0" fontId="18" fillId="0" borderId="0" xfId="0" applyFont="1" applyAlignment="1">
      <x:alignment horizontal="center"/>
    </x:xf>
    <x:xf numFmtId="0" fontId="19" fillId="35" borderId="16" xfId="0" applyFont="1" applyFill="1" applyBorder="1" applyAlignment="1">
      <x:alignment horizontal="left"/>
    </x:xf>
    <x:xf numFmtId="0" fontId="19" fillId="35" borderId="24" xfId="0" applyFont="1" applyFill="1" applyBorder="1" applyAlignment="1">
      <x:alignment horizontal="left"/>
    </x:xf>
    <x:xf numFmtId="0" fontId="18" fillId="0" borderId="12" xfId="0" applyFont="1" applyBorder="1" applyAlignment="1">
      <x:alignment horizontal="left" vertical="center"/>
    </x:xf>
    <x:xf numFmtId="0" fontId="18" fillId="0" borderId="13" xfId="0" applyFont="1" applyBorder="1" applyAlignment="1">
      <x:alignment horizontal="left" vertical="center"/>
    </x:xf>
    <x:xf numFmtId="0" fontId="18" fillId="0" borderId="14" xfId="0" applyFont="1" applyBorder="1" applyAlignment="1">
      <x:alignment horizontal="left" vertical="center"/>
    </x:xf>
    <x:xf numFmtId="0" fontId="21" fillId="34" borderId="20" xfId="0" applyFont="1" applyFill="1" applyBorder="1" applyAlignment="1">
      <x:alignment horizontal="center" vertical="center" wrapText="1"/>
    </x:xf>
    <x:xf numFmtId="0" fontId="21" fillId="34" borderId="0" xfId="0" applyFont="1" applyFill="1" applyAlignment="1">
      <x:alignment horizontal="center" vertical="center" wrapText="1"/>
    </x:xf>
    <x:xf numFmtId="0" fontId="21" fillId="34" borderId="23" xfId="0" applyFont="1" applyFill="1" applyBorder="1" applyAlignment="1">
      <x:alignment horizontal="center" vertical="center" wrapText="1"/>
    </x:xf>
    <x:xf numFmtId="0" fontId="21" fillId="34" borderId="12" xfId="0" applyFont="1" applyFill="1" applyBorder="1" applyAlignment="1">
      <x:alignment horizontal="left"/>
    </x:xf>
    <x:xf numFmtId="0" fontId="21" fillId="34" borderId="13" xfId="0" applyFont="1" applyFill="1" applyBorder="1" applyAlignment="1">
      <x:alignment horizontal="left"/>
    </x:xf>
    <x:xf numFmtId="0" fontId="21" fillId="34" borderId="14" xfId="0" applyFont="1" applyFill="1" applyBorder="1" applyAlignment="1">
      <x:alignment horizontal="left"/>
    </x:xf>
    <x:xf numFmtId="0" fontId="25" fillId="34" borderId="12" xfId="0" applyFont="1" applyFill="1" applyBorder="1" applyAlignment="1">
      <x:alignment horizontal="left" vertical="center"/>
    </x:xf>
    <x:xf numFmtId="0" fontId="25" fillId="34" borderId="13" xfId="0" applyFont="1" applyFill="1" applyBorder="1" applyAlignment="1">
      <x:alignment horizontal="left" vertical="center"/>
    </x:xf>
    <x:xf numFmtId="0" fontId="25" fillId="34" borderId="14" xfId="0" applyFont="1" applyFill="1" applyBorder="1" applyAlignment="1">
      <x:alignment horizontal="left" vertical="center"/>
    </x:xf>
    <x:xf numFmtId="49" fontId="33" fillId="33" borderId="0" xfId="0" applyNumberFormat="1" applyFont="1" applyFill="1" applyBorder="1" applyAlignment="1">
      <x:alignment horizontal="center"/>
    </x:xf>
    <x:xf numFmtId="0" fontId="34" fillId="34" borderId="10" xfId="0" applyFont="1" applyFill="1" applyBorder="1" applyAlignment="1">
      <x:alignment horizontal="center" vertical="center" wrapText="1"/>
    </x:xf>
    <x:xf numFmtId="0" fontId="34" fillId="34" borderId="10" xfId="0" applyFont="1" applyFill="1" applyBorder="1" applyAlignment="1">
      <x:alignment horizontal="center"/>
    </x:xf>
    <x:xf numFmtId="166" fontId="32" fillId="0" borderId="10" xfId="0" applyNumberFormat="1" applyFont="1" applyBorder="1" applyAlignment="1">
      <x:alignment horizontal="center" vertical="center"/>
    </x:xf>
    <x:xf numFmtId="0" fontId="32" fillId="0" borderId="12" xfId="0" applyFont="1" applyBorder="1" applyAlignment="1">
      <x:alignment horizontal="center" vertical="center"/>
    </x:xf>
    <x:xf numFmtId="0" fontId="32" fillId="0" borderId="13" xfId="0" applyFont="1" applyBorder="1" applyAlignment="1">
      <x:alignment horizontal="center" vertical="center"/>
    </x:xf>
    <x:xf numFmtId="0" fontId="32" fillId="0" borderId="14" xfId="0" applyFont="1" applyBorder="1" applyAlignment="1">
      <x:alignment horizontal="center" vertical="center"/>
    </x:xf>
    <x:xf numFmtId="0" fontId="39" fillId="34" borderId="14" xfId="0" applyFont="1" applyFill="1" applyBorder="1" applyAlignment="1">
      <x:alignment horizontal="left" vertical="center"/>
    </x:xf>
    <x:xf numFmtId="0" fontId="32" fillId="0" borderId="12" xfId="0" applyFont="1" applyFill="1" applyBorder="1" applyAlignment="1">
      <x:alignment horizontal="left" vertical="center"/>
    </x:xf>
    <x:xf numFmtId="0" fontId="32" fillId="0" borderId="13" xfId="0" applyFont="1" applyFill="1" applyBorder="1" applyAlignment="1">
      <x:alignment horizontal="left" vertical="center"/>
    </x:xf>
    <x:xf numFmtId="0" fontId="32" fillId="0" borderId="14" xfId="0" applyFont="1" applyFill="1" applyBorder="1" applyAlignment="1">
      <x:alignment horizontal="left" vertical="center"/>
    </x:xf>
    <x:xf numFmtId="0" fontId="41" fillId="33" borderId="0" xfId="0" applyFont="1" applyFill="1" applyBorder="1" applyAlignment="1">
      <x:alignment horizontal="center"/>
    </x:xf>
    <x:xf numFmtId="0" fontId="53" fillId="34" borderId="15" xfId="0" applyFont="1" applyFill="1" applyBorder="1" applyAlignment="1">
      <x:alignment horizontal="left"/>
    </x:xf>
    <x:xf numFmtId="0" fontId="49" fillId="34" borderId="10" xfId="0" applyFont="1" applyFill="1" applyBorder="1" applyAlignment="1">
      <x:alignment horizontal="left" vertical="center"/>
    </x:xf>
    <x:xf numFmtId="0" fontId="43" fillId="33" borderId="0" xfId="0" applyFont="1" applyFill="1" applyBorder="1" applyAlignment="1">
      <x:alignment horizontal="center"/>
    </x:xf>
    <x:xf numFmtId="17" fontId="43" fillId="33" borderId="0" xfId="0" applyNumberFormat="1" applyFont="1" applyFill="1" applyBorder="1" applyAlignment="1">
      <x:alignment horizontal="center"/>
    </x:xf>
    <x:xf numFmtId="49" fontId="43" fillId="33" borderId="0" xfId="0" applyNumberFormat="1" applyFont="1" applyFill="1" applyBorder="1" applyAlignment="1">
      <x:alignment horizontal="center"/>
    </x:xf>
    <x:xf numFmtId="0" fontId="45" fillId="34" borderId="19" xfId="0" applyFont="1" applyFill="1" applyBorder="1" applyAlignment="1">
      <x:alignment horizontal="center" vertical="center"/>
    </x:xf>
    <x:xf numFmtId="0" fontId="45" fillId="34" borderId="21" xfId="0" applyFont="1" applyFill="1" applyBorder="1" applyAlignment="1">
      <x:alignment horizontal="center" vertical="center"/>
    </x:xf>
    <x:xf numFmtId="0" fontId="45" fillId="34" borderId="20" xfId="0" applyFont="1" applyFill="1" applyBorder="1" applyAlignment="1">
      <x:alignment horizontal="center" vertical="center"/>
    </x:xf>
    <x:xf numFmtId="0" fontId="45" fillId="34" borderId="23" xfId="0" applyFont="1" applyFill="1" applyBorder="1" applyAlignment="1">
      <x:alignment horizontal="center" vertical="center"/>
    </x:xf>
    <x:xf numFmtId="0" fontId="45" fillId="34" borderId="10" xfId="0" applyFont="1" applyFill="1" applyBorder="1" applyAlignment="1">
      <x:alignment horizontal="center" vertical="center"/>
    </x:xf>
    <x:xf numFmtId="3" fontId="42" fillId="0" borderId="17" xfId="0" applyNumberFormat="1" applyFont="1" applyBorder="1" applyAlignment="1">
      <x:alignment horizontal="center" vertical="center"/>
    </x:xf>
    <x:xf numFmtId="3" fontId="42" fillId="0" borderId="25" xfId="0" applyNumberFormat="1" applyFont="1" applyBorder="1" applyAlignment="1">
      <x:alignment horizontal="center" vertical="center"/>
    </x:xf>
    <x:xf numFmtId="3" fontId="42" fillId="0" borderId="18" xfId="0" applyNumberFormat="1" applyFont="1" applyBorder="1" applyAlignment="1">
      <x:alignment horizontal="center" vertical="center"/>
    </x:xf>
    <x:xf numFmtId="0" fontId="46" fillId="35" borderId="16" xfId="0" applyFont="1" applyFill="1" applyBorder="1" applyAlignment="1">
      <x:alignment horizontal="left"/>
    </x:xf>
    <x:xf numFmtId="0" fontId="46" fillId="35" borderId="24" xfId="0" applyFont="1" applyFill="1" applyBorder="1" applyAlignment="1">
      <x:alignment horizontal="left"/>
    </x:xf>
    <x:xf numFmtId="0" fontId="42" fillId="0" borderId="10" xfId="0" applyFont="1" applyBorder="1" applyAlignment="1">
      <x:alignment horizontal="left" vertical="center"/>
    </x:xf>
    <x:xf numFmtId="0" fontId="46" fillId="33" borderId="12" xfId="0" applyFont="1" applyFill="1" applyBorder="1" applyAlignment="1">
      <x:alignment horizontal="left" vertical="center"/>
    </x:xf>
    <x:xf numFmtId="0" fontId="46" fillId="33" borderId="14" xfId="0" applyFont="1" applyFill="1" applyBorder="1" applyAlignment="1">
      <x:alignment horizontal="left" vertical="center"/>
    </x:xf>
    <x:xf numFmtId="0" fontId="46" fillId="33" borderId="12" xfId="0" applyFont="1" applyFill="1" applyBorder="1" applyAlignment="1">
      <x:alignment horizontal="left" vertical="center" wrapText="1"/>
    </x:xf>
    <x:xf numFmtId="0" fontId="45" fillId="34" borderId="10" xfId="0" applyFont="1" applyFill="1" applyBorder="1" applyAlignment="1">
      <x:alignment horizontal="center" vertical="center" wrapText="1"/>
    </x:xf>
    <x:xf numFmtId="0" fontId="45" fillId="34" borderId="10" xfId="0" applyFont="1" applyFill="1" applyBorder="1" applyAlignment="1">
      <x:alignment horizontal="left"/>
    </x:xf>
    <x:xf numFmtId="0" fontId="39" fillId="34" borderId="12" xfId="0" applyFont="1" applyFill="1" applyBorder="1" applyAlignment="1">
      <x:alignment horizontal="center" vertical="center"/>
    </x:xf>
    <x:xf numFmtId="0" fontId="39" fillId="34" borderId="13" xfId="0" applyFont="1" applyFill="1" applyBorder="1" applyAlignment="1">
      <x:alignment horizontal="center" vertical="center"/>
    </x:xf>
    <x:xf numFmtId="0" fontId="39" fillId="34" borderId="14" xfId="0" applyFont="1" applyFill="1" applyBorder="1" applyAlignment="1">
      <x:alignment horizontal="center" vertical="center"/>
    </x:xf>
    <x:xf numFmtId="0" fontId="0" fillId="0" borderId="10" xfId="0" applyBorder="1" applyAlignment="1">
      <x:alignment horizontal="center"/>
    </x:xf>
    <x:xf numFmtId="0" fontId="27" fillId="33" borderId="0" xfId="0" applyFont="1" applyFill="1" applyBorder="1" applyAlignment="1">
      <x:alignment horizontal="center"/>
    </x:xf>
    <x:xf numFmtId="0" fontId="27" fillId="33" borderId="0" xfId="0" applyFont="1" applyFill="1" applyAlignment="1">
      <x:alignment horizontal="center" vertical="center"/>
    </x:xf>
    <x:xf numFmtId="49" fontId="27" fillId="33" borderId="0" xfId="0" applyNumberFormat="1" applyFont="1" applyFill="1" applyAlignment="1">
      <x:alignment horizontal="center"/>
    </x:xf>
    <x:xf numFmtId="0" fontId="19" fillId="0" borderId="10" xfId="0" applyFont="1" applyBorder="1" applyAlignment="1">
      <x:alignment horizontal="left" vertical="center"/>
    </x:xf>
    <x:xf numFmtId="0" fontId="21" fillId="34" borderId="12" xfId="0" applyFont="1" applyFill="1" applyBorder="1" applyAlignment="1">
      <x:alignment horizontal="center" vertical="center"/>
    </x:xf>
    <x:xf numFmtId="0" fontId="21" fillId="34" borderId="14" xfId="0" applyFont="1" applyFill="1" applyBorder="1" applyAlignment="1">
      <x:alignment horizontal="center" vertical="center"/>
    </x:xf>
    <x:xf numFmtId="9" fontId="19" fillId="0" borderId="12" xfId="0" applyNumberFormat="1" applyFont="1" applyBorder="1" applyAlignment="1">
      <x:alignment horizontal="center" vertical="center"/>
    </x:xf>
    <x:xf numFmtId="0" fontId="19" fillId="0" borderId="13" xfId="0" applyFont="1" applyBorder="1" applyAlignment="1">
      <x:alignment horizontal="center" vertical="center"/>
    </x:xf>
    <x:xf numFmtId="0" fontId="19" fillId="0" borderId="14" xfId="0" applyFont="1" applyBorder="1" applyAlignment="1">
      <x:alignment horizontal="center" vertical="center"/>
    </x:xf>
    <x:xf numFmtId="0" fontId="18" fillId="33" borderId="10" xfId="0" applyFont="1" applyFill="1" applyBorder="1" applyAlignment="1">
      <x:alignment horizontal="center" vertical="center"/>
    </x:xf>
    <x:xf numFmtId="0" fontId="21" fillId="34" borderId="10" xfId="0" applyFont="1" applyFill="1" applyBorder="1" applyAlignment="1">
      <x:alignment horizontal="center" vertical="center"/>
    </x:xf>
    <x:xf numFmtId="164" fontId="18" fillId="33" borderId="10" xfId="1" applyNumberFormat="1" applyFont="1" applyFill="1" applyBorder="1" applyAlignment="1">
      <x:alignment horizontal="center" vertical="center"/>
    </x:xf>
    <x:xf numFmtId="0" fontId="29" fillId="34" borderId="12" xfId="0" applyFont="1" applyFill="1" applyBorder="1" applyAlignment="1">
      <x:alignment horizontal="center" vertical="center"/>
    </x:xf>
    <x:xf numFmtId="0" fontId="29" fillId="34" borderId="14" xfId="0" applyFont="1" applyFill="1" applyBorder="1" applyAlignment="1">
      <x:alignment horizontal="center" vertical="center"/>
    </x:xf>
    <x:xf numFmtId="9" fontId="31" fillId="0" borderId="12" xfId="1" applyFont="1" applyFill="1" applyBorder="1" applyAlignment="1">
      <x:alignment horizontal="center" vertical="center"/>
    </x:xf>
    <x:xf numFmtId="9" fontId="31" fillId="0" borderId="14" xfId="1" applyFont="1" applyFill="1" applyBorder="1" applyAlignment="1">
      <x:alignment horizontal="center" vertical="center"/>
    </x:xf>
    <x:xf numFmtId="0" fontId="29" fillId="34" borderId="15" xfId="0" applyFont="1" applyFill="1" applyBorder="1" applyAlignment="1">
      <x:alignment horizontal="center" vertical="center"/>
    </x:xf>
    <x:xf numFmtId="0" fontId="21" fillId="34" borderId="10" xfId="0" applyFont="1" applyFill="1" applyBorder="1" applyAlignment="1">
      <x:alignment horizontal="center"/>
    </x:xf>
    <x:xf numFmtId="9" fontId="30" fillId="0" borderId="12" xfId="0" applyNumberFormat="1" applyFont="1" applyBorder="1" applyAlignment="1">
      <x:alignment horizontal="center" vertical="center"/>
    </x:xf>
    <x:xf numFmtId="0" fontId="30" fillId="0" borderId="14" xfId="0" applyFont="1" applyBorder="1" applyAlignment="1">
      <x:alignment horizontal="center" vertical="center"/>
    </x:xf>
    <x:xf numFmtId="0" fontId="18" fillId="0" borderId="12" xfId="0" applyFont="1" applyBorder="1" applyAlignment="1">
      <x:alignment horizontal="center" vertical="center"/>
    </x:xf>
    <x:xf numFmtId="0" fontId="18" fillId="0" borderId="14" xfId="0" applyFont="1" applyBorder="1" applyAlignment="1">
      <x:alignment horizontal="center" vertical="center"/>
    </x:xf>
  </x:cellXfs>
  <x:cellStyles count="43">
    <x:cellStyle name="20% - Énfasis1" xfId="20"/>
    <x:cellStyle name="20% - Énfasis2" xfId="24"/>
    <x:cellStyle name="20% - Énfasis3" xfId="28"/>
    <x:cellStyle name="20% - Énfasis4" xfId="32"/>
    <x:cellStyle name="20% - Énfasis5" xfId="36"/>
    <x:cellStyle name="20% - Énfasis6" xfId="40"/>
    <x:cellStyle name="40% - Énfasis1" xfId="21"/>
    <x:cellStyle name="40% - Énfasis2" xfId="25"/>
    <x:cellStyle name="40% - Énfasis3" xfId="29"/>
    <x:cellStyle name="40% - Énfasis4" xfId="33"/>
    <x:cellStyle name="40% - Énfasis5" xfId="37"/>
    <x:cellStyle name="40% - Énfasis6" xfId="41"/>
    <x:cellStyle name="60% - Énfasis1" xfId="22"/>
    <x:cellStyle name="60% - Énfasis2" xfId="26"/>
    <x:cellStyle name="60% - Énfasis3" xfId="30"/>
    <x:cellStyle name="60% - Énfasis4" xfId="34"/>
    <x:cellStyle name="60% - Énfasis5" xfId="38"/>
    <x:cellStyle name="60% - Énfasis6" xfId="42"/>
    <x:cellStyle name="Bueno" xfId="7"/>
    <x:cellStyle name="Cálculo" xfId="12"/>
    <x:cellStyle name="Celda de comprobación" xfId="14"/>
    <x:cellStyle name="Celda vinculada" xfId="13"/>
    <x:cellStyle name="Encabezado 1" xfId="3"/>
    <x:cellStyle name="Encabezado 4" xfId="6"/>
    <x:cellStyle name="Énfasis1" xfId="19"/>
    <x:cellStyle name="Énfasis2" xfId="23"/>
    <x:cellStyle name="Énfasis3" xfId="27"/>
    <x:cellStyle name="Énfasis4" xfId="31"/>
    <x:cellStyle name="Énfasis5" xfId="35"/>
    <x:cellStyle name="Énfasis6" xfId="39"/>
    <x:cellStyle name="Entrada" xfId="10"/>
    <x:cellStyle name="Incorrecto" xfId="8"/>
    <x:cellStyle name="Neutral" xfId="9"/>
    <x:cellStyle name="Normal" xfId="0"/>
    <x:cellStyle name="Notas" xfId="16"/>
    <x:cellStyle name="Porcentaje" xfId="1"/>
    <x:cellStyle name="Salida" xfId="11"/>
    <x:cellStyle name="Texto de advertencia" xfId="15"/>
    <x:cellStyle name="Texto explicativo" xfId="17"/>
    <x:cellStyle name="Título" xfId="2"/>
    <x:cellStyle name="Título 2" xfId="4"/>
    <x:cellStyle name="Título 3" xfId="5"/>
    <x:cellStyle name="Total" xfId="18"/>
  </x:cellStyles>
  <x:dxfs count="18"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a72e4001e4f09" /><Relationship Type="http://schemas.openxmlformats.org/officeDocument/2006/relationships/theme" Target="/xl/theme/theme1.xml" Id="Rbee13896ef144965" /><Relationship Type="http://schemas.openxmlformats.org/officeDocument/2006/relationships/sharedStrings" Target="/xl/sharedStrings.xml" Id="R6093a5e54eea4c76" /><Relationship Type="http://schemas.openxmlformats.org/officeDocument/2006/relationships/worksheet" Target="/xl/worksheets/sheet1.xml" Id="R7ef0559e3ce0465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/>
  </x:sheetViews>
  <x:sheetFormatPr baseColWidth="10" defaultColWidth="11.5703125" defaultRowHeight="15"/>
  <x:cols>
    <x:col min="1" max="1" width="10.42578125" style="63" customWidth="1"/>
    <x:col min="2" max="2" width="8" style="63" customWidth="1"/>
    <x:col min="3" max="3" width="8.28515625" style="63" customWidth="1"/>
    <x:col min="4" max="6" width="11.5703125" style="63" customWidth="0"/>
    <x:col min="7" max="7" width="18.85546875" style="63" customWidth="1"/>
    <x:col min="8" max="8" width="13.140625" style="63" customWidth="1"/>
    <x:col min="9" max="9" width="21.85546875" style="63" customWidth="1"/>
    <x:col min="10" max="10" width="23.42578125" style="63" customWidth="1"/>
    <x:col min="11" max="11" width="11.5703125" style="63" customWidth="0"/>
    <x:col min="12" max="12" width="8.28515625" style="63" customWidth="1"/>
    <x:col min="13" max="13" width="10" style="63" customWidth="1"/>
    <x:col min="14" max="16" width="11.5703125" style="63" customWidth="0"/>
    <x:col min="17" max="17" width="19.7109375" style="63" customWidth="1"/>
    <x:col min="18" max="18" width="17.7109375" style="63" customWidth="1"/>
    <x:col min="19" max="19" width="13.7109375" style="63" customWidth="1"/>
    <x:col min="20" max="20" width="19.7109375" style="63" customWidth="1"/>
    <x:col min="21" max="21" width="11.5703125" style="63" customWidth="0"/>
    <x:col min="22" max="22" width="8.7109375" style="63" customWidth="1"/>
    <x:col min="23" max="25" width="11.5703125" style="63" customWidth="0"/>
    <x:col min="26" max="26" width="22.5703125" style="63" customWidth="1"/>
    <x:col min="27" max="27" width="14.28515625" style="63" customWidth="1"/>
    <x:col min="28" max="28" width="13.7109375" style="63" customWidth="1"/>
    <x:col min="29" max="29" width="22.85546875" style="63" customWidth="1"/>
    <x:col min="30" max="30" width="13" style="63" customWidth="1"/>
    <x:col min="31" max="31" width="7.85546875" style="63" customWidth="1"/>
    <x:col min="32" max="33" width="11.5703125" style="63" customWidth="0"/>
    <x:col min="34" max="34" width="10.5703125" style="63" customWidth="1"/>
    <x:col min="35" max="35" width="22.85546875" style="63" customWidth="1"/>
    <x:col min="36" max="36" width="13.85546875" style="63" customWidth="1"/>
    <x:col min="37" max="37" width="17.28515625" style="63" customWidth="1"/>
    <x:col min="38" max="38" width="19" style="63" customWidth="1"/>
    <x:col min="39" max="40" width="11.5703125" style="63" customWidth="0"/>
    <x:col min="41" max="41" width="8.42578125" style="63" customWidth="1"/>
    <x:col min="42" max="43" width="11.5703125" style="63" customWidth="0"/>
    <x:col min="44" max="44" width="11.7109375" style="63" customWidth="1"/>
    <x:col min="45" max="45" width="21.5703125" style="63" customWidth="1"/>
    <x:col min="46" max="47" width="14.28515625" style="63" customWidth="1"/>
    <x:col min="48" max="48" width="19.7109375" style="63" customWidth="1"/>
    <x:col min="49" max="50" width="11.5703125" style="63" customWidth="0"/>
    <x:col min="51" max="51" width="9.140625" style="63" customWidth="1"/>
    <x:col min="52" max="52" width="11.5703125" style="63" customWidth="0"/>
    <x:col min="53" max="53" width="17" style="63" customWidth="1"/>
    <x:col min="54" max="54" width="11.5703125" style="63" customWidth="0"/>
    <x:col min="55" max="55" width="22.7109375" style="63" customWidth="1"/>
    <x:col min="56" max="56" width="19.85546875" style="63" customWidth="1"/>
    <x:col min="57" max="57" width="15.140625" style="63" customWidth="1"/>
    <x:col min="58" max="58" width="22.85546875" style="63" customWidth="1"/>
    <x:col min="59" max="59" width="11.5703125" style="63" customWidth="0"/>
    <x:col min="60" max="60" width="7.5703125" style="63" customWidth="1"/>
    <x:col min="61" max="63" width="11.5703125" style="63" customWidth="0"/>
    <x:col min="64" max="64" width="34.85546875" style="63" customWidth="1"/>
    <x:col min="65" max="65" width="14.140625" style="63" customWidth="1"/>
    <x:col min="66" max="68" width="11.5703125" style="63" customWidth="0"/>
    <x:col min="69" max="69" width="10.28515625" style="63" customWidth="1"/>
    <x:col min="70" max="72" width="11.5703125" style="63" customWidth="0"/>
    <x:col min="73" max="73" width="34.85546875" style="63" customWidth="1"/>
    <x:col min="74" max="76" width="13.7109375" style="63" customWidth="1"/>
    <x:col min="77" max="16384" width="11.5703125" style="63" customWidth="0"/>
  </x:cols>
  <x:sheetData>
    <x:row r="1" s="62" customFormat="1" ht="31.899999618530273" customHeight="1">
      <x:c r="A1" s="272" t="s">
        <x:v>0</x:v>
      </x:c>
      <x:c r="B1" s="272"/>
      <x:c r="C1" s="269" t="s">
        <x:v>1</x:v>
      </x:c>
      <x:c r="D1" s="269"/>
      <x:c r="E1" s="269"/>
      <x:c r="F1" s="269"/>
      <x:c r="G1" s="269"/>
      <x:c r="H1" s="269"/>
      <x:c r="I1" s="269"/>
      <x:c r="J1" s="269"/>
      <x:c r="K1" s="123"/>
      <x:c r="L1" s="123"/>
      <x:c r="M1" s="269" t="s">
        <x:v>1</x:v>
      </x:c>
      <x:c r="N1" s="269"/>
      <x:c r="O1" s="269"/>
      <x:c r="P1" s="269"/>
      <x:c r="Q1" s="269"/>
      <x:c r="R1" s="269"/>
      <x:c r="S1" s="269"/>
      <x:c r="T1" s="269"/>
      <x:c r="U1" s="123"/>
      <x:c r="V1" s="269" t="s">
        <x:v>1</x:v>
      </x:c>
      <x:c r="W1" s="269"/>
      <x:c r="X1" s="269"/>
      <x:c r="Y1" s="269"/>
      <x:c r="Z1" s="269"/>
      <x:c r="AA1" s="269"/>
      <x:c r="AB1" s="269"/>
      <x:c r="AC1" s="269"/>
      <x:c r="AD1" s="123"/>
      <x:c r="AE1" s="269" t="s">
        <x:v>1</x:v>
      </x:c>
      <x:c r="AF1" s="269"/>
      <x:c r="AG1" s="269"/>
      <x:c r="AH1" s="269"/>
      <x:c r="AI1" s="269"/>
      <x:c r="AJ1" s="269"/>
      <x:c r="AK1" s="269"/>
      <x:c r="AL1" s="269"/>
      <x:c r="AM1" s="123"/>
      <x:c r="AN1" s="117"/>
      <x:c r="AO1" s="269" t="s">
        <x:v>1</x:v>
      </x:c>
      <x:c r="AP1" s="269"/>
      <x:c r="AQ1" s="269"/>
      <x:c r="AR1" s="269"/>
      <x:c r="AS1" s="269"/>
      <x:c r="AT1" s="269"/>
      <x:c r="AU1" s="269"/>
      <x:c r="AV1" s="269"/>
      <x:c r="AW1" s="117"/>
      <x:c r="AX1" s="123"/>
      <x:c r="AY1" s="269" t="s">
        <x:v>1</x:v>
      </x:c>
      <x:c r="AZ1" s="269"/>
      <x:c r="BA1" s="269"/>
      <x:c r="BB1" s="269"/>
      <x:c r="BC1" s="269"/>
      <x:c r="BD1" s="269"/>
      <x:c r="BE1" s="269"/>
      <x:c r="BF1" s="269"/>
      <x:c r="BH1" s="269" t="s">
        <x:v>1</x:v>
      </x:c>
      <x:c r="BI1" s="269"/>
      <x:c r="BJ1" s="269"/>
      <x:c r="BK1" s="269"/>
      <x:c r="BL1" s="269"/>
      <x:c r="BM1" s="269"/>
      <x:c r="BN1" s="269"/>
      <x:c r="BO1" s="269"/>
      <x:c r="BQ1" s="269" t="s">
        <x:v>1</x:v>
      </x:c>
      <x:c r="BR1" s="269"/>
      <x:c r="BS1" s="269"/>
      <x:c r="BT1" s="269"/>
      <x:c r="BU1" s="269"/>
      <x:c r="BV1" s="269"/>
      <x:c r="BW1" s="269"/>
      <x:c r="BX1" s="269"/>
    </x:row>
    <x:row r="2" s="62" customFormat="1" ht="15.75">
      <x:c r="A2" s="273">
        <x:f>+SUM(H15+R15+AA15+AT15+BD15+BM15+BV15)+AJ15</x:f>
        <x:v>18207</x:v>
      </x:c>
      <x:c r="B2" s="273"/>
      <x:c r="C2" s="270">
        <x:v>46204</x:v>
      </x:c>
      <x:c r="D2" s="270"/>
      <x:c r="E2" s="270"/>
      <x:c r="F2" s="270"/>
      <x:c r="G2" s="270"/>
      <x:c r="H2" s="270"/>
      <x:c r="I2" s="270"/>
      <x:c r="J2" s="270"/>
      <x:c r="K2" s="123"/>
      <x:c r="L2" s="123"/>
      <x:c r="M2" s="270">
        <x:v>46204</x:v>
      </x:c>
      <x:c r="N2" s="270"/>
      <x:c r="O2" s="270"/>
      <x:c r="P2" s="270"/>
      <x:c r="Q2" s="270"/>
      <x:c r="R2" s="270"/>
      <x:c r="S2" s="270"/>
      <x:c r="T2" s="270"/>
      <x:c r="U2" s="123"/>
      <x:c r="V2" s="270">
        <x:v>46204</x:v>
      </x:c>
      <x:c r="W2" s="270"/>
      <x:c r="X2" s="270"/>
      <x:c r="Y2" s="270"/>
      <x:c r="Z2" s="270"/>
      <x:c r="AA2" s="270"/>
      <x:c r="AB2" s="270"/>
      <x:c r="AC2" s="270"/>
      <x:c r="AD2" s="123"/>
      <x:c r="AE2" s="270">
        <x:v>46204</x:v>
      </x:c>
      <x:c r="AF2" s="270"/>
      <x:c r="AG2" s="270"/>
      <x:c r="AH2" s="270"/>
      <x:c r="AI2" s="270"/>
      <x:c r="AJ2" s="270"/>
      <x:c r="AK2" s="270"/>
      <x:c r="AL2" s="270"/>
      <x:c r="AM2" s="123"/>
      <x:c r="AN2" s="117"/>
      <x:c r="AO2" s="270">
        <x:v>46204</x:v>
      </x:c>
      <x:c r="AP2" s="270"/>
      <x:c r="AQ2" s="270"/>
      <x:c r="AR2" s="270"/>
      <x:c r="AS2" s="270"/>
      <x:c r="AT2" s="270"/>
      <x:c r="AU2" s="270"/>
      <x:c r="AV2" s="270"/>
      <x:c r="AW2" s="117"/>
      <x:c r="AX2" s="123"/>
      <x:c r="AY2" s="270">
        <x:v>46204</x:v>
      </x:c>
      <x:c r="AZ2" s="270"/>
      <x:c r="BA2" s="270"/>
      <x:c r="BB2" s="270"/>
      <x:c r="BC2" s="270"/>
      <x:c r="BD2" s="270"/>
      <x:c r="BE2" s="270"/>
      <x:c r="BF2" s="270"/>
      <x:c r="BH2" s="270">
        <x:v>46204</x:v>
      </x:c>
      <x:c r="BI2" s="270"/>
      <x:c r="BJ2" s="270"/>
      <x:c r="BK2" s="270"/>
      <x:c r="BL2" s="270"/>
      <x:c r="BM2" s="270"/>
      <x:c r="BN2" s="270"/>
      <x:c r="BO2" s="270"/>
      <x:c r="BQ2" s="270">
        <x:v>46204</x:v>
      </x:c>
      <x:c r="BR2" s="270"/>
      <x:c r="BS2" s="270"/>
      <x:c r="BT2" s="270"/>
      <x:c r="BU2" s="270"/>
      <x:c r="BV2" s="270"/>
      <x:c r="BW2" s="270"/>
      <x:c r="BX2" s="270"/>
    </x:row>
    <x:row r="3" s="62" customFormat="1" ht="15.75" customHeight="1">
      <x:c r="A3" s="273" t="s">
        <x:v>2</x:v>
      </x:c>
      <x:c r="B3" s="273"/>
      <x:c r="C3" s="63"/>
      <x:c r="D3" s="64"/>
      <x:c r="E3" s="64"/>
      <x:c r="F3" s="64"/>
      <x:c r="G3" s="64"/>
      <x:c r="H3" s="65"/>
      <x:c r="K3" s="63"/>
      <x:c r="M3" s="63"/>
      <x:c r="N3" s="64"/>
      <x:c r="O3" s="64"/>
      <x:c r="P3" s="64"/>
      <x:c r="Q3" s="64"/>
      <x:c r="R3" s="65"/>
      <x:c r="V3" s="63"/>
      <x:c r="W3" s="64"/>
      <x:c r="X3" s="64"/>
      <x:c r="Y3" s="64"/>
      <x:c r="Z3" s="64"/>
      <x:c r="AA3" s="65"/>
      <x:c r="AE3" s="63"/>
      <x:c r="AF3" s="64"/>
      <x:c r="AG3" s="64"/>
      <x:c r="AH3" s="64"/>
      <x:c r="AI3" s="64"/>
      <x:c r="AJ3" s="65"/>
      <x:c r="AN3" s="118"/>
      <x:c r="AO3" s="268" t="s">
        <x:v>3</x:v>
      </x:c>
      <x:c r="AP3" s="268"/>
      <x:c r="AQ3" s="64"/>
      <x:c r="AR3" s="64"/>
      <x:c r="AS3" s="64"/>
      <x:c r="AT3" s="65"/>
      <x:c r="AW3" s="118"/>
      <x:c r="AX3" s="123"/>
      <x:c r="AY3" s="63"/>
      <x:c r="AZ3" s="64"/>
      <x:c r="BA3" s="64"/>
      <x:c r="BB3" s="64"/>
      <x:c r="BC3" s="64"/>
      <x:c r="BD3" s="65"/>
      <x:c r="BH3" s="63"/>
      <x:c r="BI3" s="64"/>
      <x:c r="BJ3" s="64"/>
      <x:c r="BK3" s="64"/>
      <x:c r="BL3" s="64"/>
      <x:c r="BM3" s="65"/>
      <x:c r="BQ3" s="63"/>
      <x:c r="BR3" s="64"/>
      <x:c r="BS3" s="64"/>
      <x:c r="BT3" s="64"/>
      <x:c r="BU3" s="64"/>
      <x:c r="BV3" s="65"/>
    </x:row>
    <x:row r="4" ht="21" customHeight="1">
      <x:c r="A4" s="274">
        <x:f>+SUM(H19+R19+AA19+AT19+BD19+BM19+BV19)+AJ19</x:f>
        <x:v>4444</x:v>
      </x:c>
      <x:c r="B4" s="274"/>
      <x:c r="C4" s="62"/>
      <x:c r="D4" s="281" t="s">
        <x:v>4</x:v>
      </x:c>
      <x:c r="E4" s="282"/>
      <x:c r="F4" s="285" t="s">
        <x:v>5</x:v>
      </x:c>
      <x:c r="G4" s="285" t="s">
        <x:v>6</x:v>
      </x:c>
      <x:c r="H4" s="285" t="s">
        <x:v>7</x:v>
      </x:c>
      <x:c r="I4" s="285"/>
      <x:c r="J4" s="285"/>
      <x:c r="K4" s="67"/>
      <x:c r="M4" s="62"/>
      <x:c r="N4" s="281" t="s">
        <x:v>4</x:v>
      </x:c>
      <x:c r="O4" s="282"/>
      <x:c r="P4" s="285" t="s">
        <x:v>5</x:v>
      </x:c>
      <x:c r="Q4" s="285" t="s">
        <x:v>6</x:v>
      </x:c>
      <x:c r="R4" s="285" t="s">
        <x:v>7</x:v>
      </x:c>
      <x:c r="S4" s="285"/>
      <x:c r="T4" s="285"/>
      <x:c r="V4" s="62"/>
      <x:c r="W4" s="281" t="s">
        <x:v>4</x:v>
      </x:c>
      <x:c r="X4" s="282"/>
      <x:c r="Y4" s="285" t="s">
        <x:v>5</x:v>
      </x:c>
      <x:c r="Z4" s="285" t="s">
        <x:v>6</x:v>
      </x:c>
      <x:c r="AA4" s="285" t="s">
        <x:v>7</x:v>
      </x:c>
      <x:c r="AB4" s="285"/>
      <x:c r="AC4" s="285"/>
      <x:c r="AE4" s="62"/>
      <x:c r="AF4" s="281" t="s">
        <x:v>4</x:v>
      </x:c>
      <x:c r="AG4" s="282"/>
      <x:c r="AH4" s="285" t="s">
        <x:v>5</x:v>
      </x:c>
      <x:c r="AI4" s="285" t="s">
        <x:v>6</x:v>
      </x:c>
      <x:c r="AJ4" s="285" t="s">
        <x:v>7</x:v>
      </x:c>
      <x:c r="AK4" s="285"/>
      <x:c r="AL4" s="285"/>
      <x:c r="AN4" s="124"/>
      <x:c r="AO4" s="62"/>
      <x:c r="AP4" s="283" t="s">
        <x:v>4</x:v>
      </x:c>
      <x:c r="AQ4" s="282"/>
      <x:c r="AR4" s="285" t="s">
        <x:v>5</x:v>
      </x:c>
      <x:c r="AS4" s="285" t="s">
        <x:v>6</x:v>
      </x:c>
      <x:c r="AT4" s="285" t="s">
        <x:v>7</x:v>
      </x:c>
      <x:c r="AU4" s="285"/>
      <x:c r="AV4" s="285"/>
      <x:c r="AW4" s="119"/>
      <x:c r="AX4" s="121"/>
      <x:c r="AY4" s="62"/>
      <x:c r="AZ4" s="281" t="s">
        <x:v>4</x:v>
      </x:c>
      <x:c r="BA4" s="282"/>
      <x:c r="BB4" s="285" t="s">
        <x:v>5</x:v>
      </x:c>
      <x:c r="BC4" s="285" t="s">
        <x:v>6</x:v>
      </x:c>
      <x:c r="BD4" s="285" t="s">
        <x:v>7</x:v>
      </x:c>
      <x:c r="BE4" s="285"/>
      <x:c r="BF4" s="285"/>
      <x:c r="BH4" s="62"/>
      <x:c r="BI4" s="281" t="s">
        <x:v>4</x:v>
      </x:c>
      <x:c r="BJ4" s="282"/>
      <x:c r="BK4" s="285" t="s">
        <x:v>5</x:v>
      </x:c>
      <x:c r="BL4" s="285" t="s">
        <x:v>6</x:v>
      </x:c>
      <x:c r="BM4" s="285" t="s">
        <x:v>7</x:v>
      </x:c>
      <x:c r="BN4" s="285"/>
      <x:c r="BO4" s="285"/>
      <x:c r="BQ4" s="62"/>
      <x:c r="BR4" s="281" t="s">
        <x:v>4</x:v>
      </x:c>
      <x:c r="BS4" s="282"/>
      <x:c r="BT4" s="285" t="s">
        <x:v>5</x:v>
      </x:c>
      <x:c r="BU4" s="285" t="s">
        <x:v>6</x:v>
      </x:c>
      <x:c r="BV4" s="285" t="s">
        <x:v>7</x:v>
      </x:c>
      <x:c r="BW4" s="285"/>
      <x:c r="BX4" s="285"/>
    </x:row>
    <x:row r="5" ht="15.75">
      <x:c r="A5" s="275" t="s">
        <x:v>8</x:v>
      </x:c>
      <x:c r="B5" s="275"/>
      <x:c r="C5" s="62"/>
      <x:c r="D5" s="283"/>
      <x:c r="E5" s="284"/>
      <x:c r="F5" s="285"/>
      <x:c r="G5" s="285"/>
      <x:c r="H5" s="135" t="s">
        <x:v>9</x:v>
      </x:c>
      <x:c r="I5" s="135" t="s">
        <x:v>10</x:v>
      </x:c>
      <x:c r="J5" s="135" t="s">
        <x:v>11</x:v>
      </x:c>
      <x:c r="K5" s="69"/>
      <x:c r="M5" s="62"/>
      <x:c r="N5" s="283"/>
      <x:c r="O5" s="284"/>
      <x:c r="P5" s="285"/>
      <x:c r="Q5" s="285"/>
      <x:c r="R5" s="135" t="s">
        <x:v>9</x:v>
      </x:c>
      <x:c r="S5" s="135" t="s">
        <x:v>10</x:v>
      </x:c>
      <x:c r="T5" s="135" t="s">
        <x:v>11</x:v>
      </x:c>
      <x:c r="V5" s="62"/>
      <x:c r="W5" s="283"/>
      <x:c r="X5" s="284"/>
      <x:c r="Y5" s="285"/>
      <x:c r="Z5" s="285"/>
      <x:c r="AA5" s="135" t="s">
        <x:v>9</x:v>
      </x:c>
      <x:c r="AB5" s="135" t="s">
        <x:v>10</x:v>
      </x:c>
      <x:c r="AC5" s="135" t="s">
        <x:v>11</x:v>
      </x:c>
      <x:c r="AE5" s="62"/>
      <x:c r="AF5" s="283"/>
      <x:c r="AG5" s="284"/>
      <x:c r="AH5" s="285"/>
      <x:c r="AI5" s="285"/>
      <x:c r="AJ5" s="135" t="s">
        <x:v>9</x:v>
      </x:c>
      <x:c r="AK5" s="135" t="s">
        <x:v>10</x:v>
      </x:c>
      <x:c r="AL5" s="135" t="s">
        <x:v>11</x:v>
      </x:c>
      <x:c r="AN5" s="120"/>
      <x:c r="AO5" s="62"/>
      <x:c r="AP5" s="283"/>
      <x:c r="AQ5" s="284"/>
      <x:c r="AR5" s="285"/>
      <x:c r="AS5" s="285"/>
      <x:c r="AT5" s="135" t="s">
        <x:v>9</x:v>
      </x:c>
      <x:c r="AU5" s="135" t="s">
        <x:v>10</x:v>
      </x:c>
      <x:c r="AV5" s="135" t="s">
        <x:v>11</x:v>
      </x:c>
      <x:c r="AW5" s="120"/>
      <x:c r="AX5" s="121"/>
      <x:c r="AY5" s="62"/>
      <x:c r="AZ5" s="283"/>
      <x:c r="BA5" s="284"/>
      <x:c r="BB5" s="285"/>
      <x:c r="BC5" s="285"/>
      <x:c r="BD5" s="135" t="s">
        <x:v>9</x:v>
      </x:c>
      <x:c r="BE5" s="135" t="s">
        <x:v>10</x:v>
      </x:c>
      <x:c r="BF5" s="135" t="s">
        <x:v>11</x:v>
      </x:c>
      <x:c r="BH5" s="62"/>
      <x:c r="BI5" s="283"/>
      <x:c r="BJ5" s="284"/>
      <x:c r="BK5" s="285"/>
      <x:c r="BL5" s="285"/>
      <x:c r="BM5" s="129" t="s">
        <x:v>9</x:v>
      </x:c>
      <x:c r="BN5" s="129" t="s">
        <x:v>10</x:v>
      </x:c>
      <x:c r="BO5" s="129" t="s">
        <x:v>11</x:v>
      </x:c>
      <x:c r="BQ5" s="62"/>
      <x:c r="BR5" s="283"/>
      <x:c r="BS5" s="284"/>
      <x:c r="BT5" s="285"/>
      <x:c r="BU5" s="285"/>
      <x:c r="BV5" s="207" t="s">
        <x:v>9</x:v>
      </x:c>
      <x:c r="BW5" s="207" t="s">
        <x:v>10</x:v>
      </x:c>
      <x:c r="BX5" s="207" t="s">
        <x:v>11</x:v>
      </x:c>
    </x:row>
    <x:row r="6" ht="15.75">
      <x:c r="A6" s="271">
        <x:f>+SUM(H17+R17+AA17+AJ17+AT17+BD17+BM17+BV17)</x:f>
        <x:v>1795361.6800000002</x:v>
      </x:c>
      <x:c r="B6" s="271"/>
      <x:c r="C6" s="62"/>
      <x:c r="D6" s="111" t="s">
        <x:v>12</x:v>
      </x:c>
      <x:c r="E6" s="112"/>
      <x:c r="F6" s="110">
        <x:v>20</x:v>
      </x:c>
      <x:c r="G6" s="70" t="s">
        <x:v>13</x:v>
      </x:c>
      <x:c r="H6" s="286" t="s">
        <x:v>14</x:v>
      </x:c>
      <x:c r="I6" s="286" t="s">
        <x:v>15</x:v>
      </x:c>
      <x:c r="J6" s="286" t="s">
        <x:v>16</x:v>
      </x:c>
      <x:c r="M6" s="62"/>
      <x:c r="N6" s="111" t="s">
        <x:v>12</x:v>
      </x:c>
      <x:c r="O6" s="112"/>
      <x:c r="P6" s="110">
        <x:v>20</x:v>
      </x:c>
      <x:c r="Q6" s="70" t="s">
        <x:v>13</x:v>
      </x:c>
      <x:c r="R6" s="286" t="s">
        <x:v>14</x:v>
      </x:c>
      <x:c r="S6" s="286" t="s">
        <x:v>15</x:v>
      </x:c>
      <x:c r="T6" s="286" t="s">
        <x:v>16</x:v>
      </x:c>
      <x:c r="V6" s="62"/>
      <x:c r="W6" s="111" t="s">
        <x:v>12</x:v>
      </x:c>
      <x:c r="X6" s="112"/>
      <x:c r="Y6" s="110">
        <x:v>20</x:v>
      </x:c>
      <x:c r="Z6" s="70" t="s">
        <x:v>13</x:v>
      </x:c>
      <x:c r="AA6" s="286" t="s">
        <x:v>14</x:v>
      </x:c>
      <x:c r="AB6" s="286" t="s">
        <x:v>15</x:v>
      </x:c>
      <x:c r="AC6" s="286" t="s">
        <x:v>16</x:v>
      </x:c>
      <x:c r="AE6" s="62"/>
      <x:c r="AF6" s="111" t="s">
        <x:v>12</x:v>
      </x:c>
      <x:c r="AG6" s="112"/>
      <x:c r="AH6" s="110">
        <x:v>20</x:v>
      </x:c>
      <x:c r="AI6" s="70" t="s">
        <x:v>13</x:v>
      </x:c>
      <x:c r="AJ6" s="286" t="s">
        <x:v>14</x:v>
      </x:c>
      <x:c r="AK6" s="286" t="s">
        <x:v>15</x:v>
      </x:c>
      <x:c r="AL6" s="286" t="s">
        <x:v>16</x:v>
      </x:c>
      <x:c r="AN6" s="121"/>
      <x:c r="AO6" s="62"/>
      <x:c r="AP6" s="111" t="s">
        <x:v>12</x:v>
      </x:c>
      <x:c r="AQ6" s="112"/>
      <x:c r="AR6" s="110">
        <x:v>20</x:v>
      </x:c>
      <x:c r="AS6" s="70" t="s">
        <x:v>13</x:v>
      </x:c>
      <x:c r="AT6" s="286" t="s">
        <x:v>14</x:v>
      </x:c>
      <x:c r="AU6" s="286" t="s">
        <x:v>15</x:v>
      </x:c>
      <x:c r="AV6" s="286" t="s">
        <x:v>16</x:v>
      </x:c>
      <x:c r="AW6" s="121"/>
      <x:c r="AX6" s="121"/>
      <x:c r="AY6" s="62"/>
      <x:c r="AZ6" s="111" t="s">
        <x:v>12</x:v>
      </x:c>
      <x:c r="BA6" s="112"/>
      <x:c r="BB6" s="110">
        <x:v>20</x:v>
      </x:c>
      <x:c r="BC6" s="70" t="s">
        <x:v>13</x:v>
      </x:c>
      <x:c r="BD6" s="286" t="s">
        <x:v>14</x:v>
      </x:c>
      <x:c r="BE6" s="286" t="s">
        <x:v>15</x:v>
      </x:c>
      <x:c r="BF6" s="286" t="s">
        <x:v>16</x:v>
      </x:c>
      <x:c r="BH6" s="62"/>
      <x:c r="BI6" s="111" t="s">
        <x:v>12</x:v>
      </x:c>
      <x:c r="BJ6" s="112"/>
      <x:c r="BK6" s="110">
        <x:v>20</x:v>
      </x:c>
      <x:c r="BL6" s="70" t="s">
        <x:v>13</x:v>
      </x:c>
      <x:c r="BM6" s="286" t="s">
        <x:v>14</x:v>
      </x:c>
      <x:c r="BN6" s="286" t="s">
        <x:v>15</x:v>
      </x:c>
      <x:c r="BO6" s="286" t="s">
        <x:v>16</x:v>
      </x:c>
      <x:c r="BQ6" s="62"/>
      <x:c r="BR6" s="111" t="s">
        <x:v>12</x:v>
      </x:c>
      <x:c r="BS6" s="112"/>
      <x:c r="BT6" s="110">
        <x:v>20</x:v>
      </x:c>
      <x:c r="BU6" s="70" t="s">
        <x:v>13</x:v>
      </x:c>
      <x:c r="BV6" s="286" t="s">
        <x:v>14</x:v>
      </x:c>
      <x:c r="BW6" s="286" t="s">
        <x:v>15</x:v>
      </x:c>
      <x:c r="BX6" s="286" t="s">
        <x:v>16</x:v>
      </x:c>
    </x:row>
    <x:row r="7" ht="15.75">
      <x:c r="B7" s="73"/>
      <x:c r="C7" s="62"/>
      <x:c r="D7" s="111" t="s">
        <x:v>17</x:v>
      </x:c>
      <x:c r="E7" s="112"/>
      <x:c r="F7" s="110">
        <x:v>30</x:v>
      </x:c>
      <x:c r="G7" s="71" t="s">
        <x:v>18</x:v>
      </x:c>
      <x:c r="H7" s="286"/>
      <x:c r="I7" s="286"/>
      <x:c r="J7" s="286"/>
      <x:c r="K7" s="72"/>
      <x:c r="M7" s="62"/>
      <x:c r="N7" s="111" t="s">
        <x:v>17</x:v>
      </x:c>
      <x:c r="O7" s="112"/>
      <x:c r="P7" s="110">
        <x:v>30</x:v>
      </x:c>
      <x:c r="Q7" s="71" t="s">
        <x:v>18</x:v>
      </x:c>
      <x:c r="R7" s="286"/>
      <x:c r="S7" s="286"/>
      <x:c r="T7" s="286"/>
      <x:c r="V7" s="62"/>
      <x:c r="W7" s="111" t="s">
        <x:v>17</x:v>
      </x:c>
      <x:c r="X7" s="112"/>
      <x:c r="Y7" s="110">
        <x:v>30</x:v>
      </x:c>
      <x:c r="Z7" s="71" t="s">
        <x:v>18</x:v>
      </x:c>
      <x:c r="AA7" s="286"/>
      <x:c r="AB7" s="286"/>
      <x:c r="AC7" s="286"/>
      <x:c r="AE7" s="62"/>
      <x:c r="AF7" s="111" t="s">
        <x:v>17</x:v>
      </x:c>
      <x:c r="AG7" s="112"/>
      <x:c r="AH7" s="110">
        <x:v>30</x:v>
      </x:c>
      <x:c r="AI7" s="71" t="s">
        <x:v>18</x:v>
      </x:c>
      <x:c r="AJ7" s="286"/>
      <x:c r="AK7" s="286"/>
      <x:c r="AL7" s="286"/>
      <x:c r="AN7" s="125"/>
      <x:c r="AO7" s="62"/>
      <x:c r="AP7" s="111" t="s">
        <x:v>17</x:v>
      </x:c>
      <x:c r="AQ7" s="112"/>
      <x:c r="AR7" s="110">
        <x:v>30</x:v>
      </x:c>
      <x:c r="AS7" s="71" t="s">
        <x:v>18</x:v>
      </x:c>
      <x:c r="AT7" s="286"/>
      <x:c r="AU7" s="286"/>
      <x:c r="AV7" s="286"/>
      <x:c r="AW7" s="122"/>
      <x:c r="AX7" s="121"/>
      <x:c r="AY7" s="62"/>
      <x:c r="AZ7" s="111" t="s">
        <x:v>17</x:v>
      </x:c>
      <x:c r="BA7" s="112"/>
      <x:c r="BB7" s="110">
        <x:v>30</x:v>
      </x:c>
      <x:c r="BC7" s="71" t="s">
        <x:v>18</x:v>
      </x:c>
      <x:c r="BD7" s="286"/>
      <x:c r="BE7" s="286"/>
      <x:c r="BF7" s="286"/>
      <x:c r="BH7" s="62"/>
      <x:c r="BI7" s="111" t="s">
        <x:v>17</x:v>
      </x:c>
      <x:c r="BJ7" s="112"/>
      <x:c r="BK7" s="110">
        <x:v>30</x:v>
      </x:c>
      <x:c r="BL7" s="71" t="s">
        <x:v>18</x:v>
      </x:c>
      <x:c r="BM7" s="286"/>
      <x:c r="BN7" s="286"/>
      <x:c r="BO7" s="286"/>
      <x:c r="BQ7" s="62"/>
      <x:c r="BR7" s="111" t="s">
        <x:v>17</x:v>
      </x:c>
      <x:c r="BS7" s="112"/>
      <x:c r="BT7" s="110">
        <x:v>30</x:v>
      </x:c>
      <x:c r="BU7" s="71" t="s">
        <x:v>18</x:v>
      </x:c>
      <x:c r="BV7" s="286"/>
      <x:c r="BW7" s="286"/>
      <x:c r="BX7" s="286"/>
    </x:row>
    <x:row r="8" ht="15.75">
      <x:c r="C8" s="62"/>
      <x:c r="D8" s="111" t="s">
        <x:v>19</x:v>
      </x:c>
      <x:c r="E8" s="112"/>
      <x:c r="F8" s="110">
        <x:v>20</x:v>
      </x:c>
      <x:c r="G8" s="71" t="s">
        <x:v>20</x:v>
      </x:c>
      <x:c r="H8" s="286"/>
      <x:c r="I8" s="286"/>
      <x:c r="J8" s="286"/>
      <x:c r="M8" s="62"/>
      <x:c r="N8" s="111" t="s">
        <x:v>19</x:v>
      </x:c>
      <x:c r="O8" s="112"/>
      <x:c r="P8" s="110">
        <x:v>20</x:v>
      </x:c>
      <x:c r="Q8" s="71" t="s">
        <x:v>20</x:v>
      </x:c>
      <x:c r="R8" s="286"/>
      <x:c r="S8" s="286"/>
      <x:c r="T8" s="286"/>
      <x:c r="V8" s="62"/>
      <x:c r="W8" s="111" t="s">
        <x:v>19</x:v>
      </x:c>
      <x:c r="X8" s="112"/>
      <x:c r="Y8" s="110">
        <x:v>20</x:v>
      </x:c>
      <x:c r="Z8" s="71" t="s">
        <x:v>20</x:v>
      </x:c>
      <x:c r="AA8" s="286"/>
      <x:c r="AB8" s="286"/>
      <x:c r="AC8" s="286"/>
      <x:c r="AE8" s="62"/>
      <x:c r="AF8" s="111" t="s">
        <x:v>19</x:v>
      </x:c>
      <x:c r="AG8" s="112"/>
      <x:c r="AH8" s="110">
        <x:v>20</x:v>
      </x:c>
      <x:c r="AI8" s="71" t="s">
        <x:v>20</x:v>
      </x:c>
      <x:c r="AJ8" s="286"/>
      <x:c r="AK8" s="286"/>
      <x:c r="AL8" s="286"/>
      <x:c r="AN8" s="121"/>
      <x:c r="AO8" s="62"/>
      <x:c r="AP8" s="111" t="s">
        <x:v>19</x:v>
      </x:c>
      <x:c r="AQ8" s="112"/>
      <x:c r="AR8" s="110">
        <x:v>20</x:v>
      </x:c>
      <x:c r="AS8" s="71" t="s">
        <x:v>20</x:v>
      </x:c>
      <x:c r="AT8" s="286"/>
      <x:c r="AU8" s="286"/>
      <x:c r="AV8" s="286"/>
      <x:c r="AW8" s="121"/>
      <x:c r="AX8" s="121"/>
      <x:c r="AY8" s="62"/>
      <x:c r="AZ8" s="111" t="s">
        <x:v>19</x:v>
      </x:c>
      <x:c r="BA8" s="112"/>
      <x:c r="BB8" s="110">
        <x:v>20</x:v>
      </x:c>
      <x:c r="BC8" s="71" t="s">
        <x:v>20</x:v>
      </x:c>
      <x:c r="BD8" s="286"/>
      <x:c r="BE8" s="286"/>
      <x:c r="BF8" s="286"/>
      <x:c r="BH8" s="62"/>
      <x:c r="BI8" s="111" t="s">
        <x:v>19</x:v>
      </x:c>
      <x:c r="BJ8" s="112"/>
      <x:c r="BK8" s="110">
        <x:v>20</x:v>
      </x:c>
      <x:c r="BL8" s="71" t="s">
        <x:v>20</x:v>
      </x:c>
      <x:c r="BM8" s="286"/>
      <x:c r="BN8" s="286"/>
      <x:c r="BO8" s="286"/>
      <x:c r="BQ8" s="62"/>
      <x:c r="BR8" s="111" t="s">
        <x:v>19</x:v>
      </x:c>
      <x:c r="BS8" s="112"/>
      <x:c r="BT8" s="110">
        <x:v>20</x:v>
      </x:c>
      <x:c r="BU8" s="71" t="s">
        <x:v>20</x:v>
      </x:c>
      <x:c r="BV8" s="286"/>
      <x:c r="BW8" s="286"/>
      <x:c r="BX8" s="286"/>
    </x:row>
    <x:row r="9" ht="15.75">
      <x:c r="C9" s="62"/>
      <x:c r="D9" s="111" t="s">
        <x:v>21</x:v>
      </x:c>
      <x:c r="E9" s="112"/>
      <x:c r="F9" s="110">
        <x:v>10</x:v>
      </x:c>
      <x:c r="G9" s="136">
        <x:v>0.8</x:v>
      </x:c>
      <x:c r="H9" s="286"/>
      <x:c r="I9" s="286"/>
      <x:c r="J9" s="286"/>
      <x:c r="M9" s="62"/>
      <x:c r="N9" s="111" t="s">
        <x:v>21</x:v>
      </x:c>
      <x:c r="O9" s="112"/>
      <x:c r="P9" s="110">
        <x:v>10</x:v>
      </x:c>
      <x:c r="Q9" s="136">
        <x:v>0.8</x:v>
      </x:c>
      <x:c r="R9" s="286"/>
      <x:c r="S9" s="286"/>
      <x:c r="T9" s="286"/>
      <x:c r="V9" s="62"/>
      <x:c r="W9" s="111" t="s">
        <x:v>21</x:v>
      </x:c>
      <x:c r="X9" s="112"/>
      <x:c r="Y9" s="110">
        <x:v>10</x:v>
      </x:c>
      <x:c r="Z9" s="136">
        <x:v>0.8</x:v>
      </x:c>
      <x:c r="AA9" s="286"/>
      <x:c r="AB9" s="286"/>
      <x:c r="AC9" s="286"/>
      <x:c r="AE9" s="62"/>
      <x:c r="AF9" s="111" t="s">
        <x:v>21</x:v>
      </x:c>
      <x:c r="AG9" s="112"/>
      <x:c r="AH9" s="110">
        <x:v>10</x:v>
      </x:c>
      <x:c r="AI9" s="136">
        <x:v>0.8</x:v>
      </x:c>
      <x:c r="AJ9" s="286"/>
      <x:c r="AK9" s="286"/>
      <x:c r="AL9" s="286"/>
      <x:c r="AN9" s="121"/>
      <x:c r="AO9" s="62"/>
      <x:c r="AP9" s="111" t="s">
        <x:v>21</x:v>
      </x:c>
      <x:c r="AQ9" s="112"/>
      <x:c r="AR9" s="110">
        <x:v>10</x:v>
      </x:c>
      <x:c r="AS9" s="136">
        <x:v>0.8</x:v>
      </x:c>
      <x:c r="AT9" s="286"/>
      <x:c r="AU9" s="286"/>
      <x:c r="AV9" s="286"/>
      <x:c r="AW9" s="121"/>
      <x:c r="AX9" s="121"/>
      <x:c r="AY9" s="62"/>
      <x:c r="AZ9" s="111" t="s">
        <x:v>21</x:v>
      </x:c>
      <x:c r="BA9" s="112"/>
      <x:c r="BB9" s="110">
        <x:v>10</x:v>
      </x:c>
      <x:c r="BC9" s="136">
        <x:v>0.8</x:v>
      </x:c>
      <x:c r="BD9" s="286"/>
      <x:c r="BE9" s="286"/>
      <x:c r="BF9" s="286"/>
      <x:c r="BH9" s="62"/>
      <x:c r="BI9" s="111" t="s">
        <x:v>21</x:v>
      </x:c>
      <x:c r="BJ9" s="112"/>
      <x:c r="BK9" s="110">
        <x:v>10</x:v>
      </x:c>
      <x:c r="BL9" s="136">
        <x:v>0.8</x:v>
      </x:c>
      <x:c r="BM9" s="286"/>
      <x:c r="BN9" s="286"/>
      <x:c r="BO9" s="286"/>
      <x:c r="BQ9" s="62"/>
      <x:c r="BR9" s="111" t="s">
        <x:v>21</x:v>
      </x:c>
      <x:c r="BS9" s="112"/>
      <x:c r="BT9" s="110">
        <x:v>10</x:v>
      </x:c>
      <x:c r="BU9" s="136">
        <x:v>0.8</x:v>
      </x:c>
      <x:c r="BV9" s="286"/>
      <x:c r="BW9" s="286"/>
      <x:c r="BX9" s="286"/>
    </x:row>
    <x:row r="10" ht="15.75">
      <x:c r="C10" s="62"/>
      <x:c r="D10" s="111" t="s">
        <x:v>22</x:v>
      </x:c>
      <x:c r="E10" s="112"/>
      <x:c r="F10" s="110">
        <x:v>20</x:v>
      </x:c>
      <x:c r="G10" s="136">
        <x:v>0.9</x:v>
      </x:c>
      <x:c r="H10" s="286"/>
      <x:c r="I10" s="286"/>
      <x:c r="J10" s="286"/>
      <x:c r="M10" s="62"/>
      <x:c r="N10" s="111" t="s">
        <x:v>22</x:v>
      </x:c>
      <x:c r="O10" s="112"/>
      <x:c r="P10" s="110">
        <x:v>20</x:v>
      </x:c>
      <x:c r="Q10" s="136">
        <x:v>0.9</x:v>
      </x:c>
      <x:c r="R10" s="286"/>
      <x:c r="S10" s="286"/>
      <x:c r="T10" s="286"/>
      <x:c r="V10" s="62"/>
      <x:c r="W10" s="111" t="s">
        <x:v>22</x:v>
      </x:c>
      <x:c r="X10" s="112"/>
      <x:c r="Y10" s="110">
        <x:v>20</x:v>
      </x:c>
      <x:c r="Z10" s="136">
        <x:v>0.9</x:v>
      </x:c>
      <x:c r="AA10" s="286"/>
      <x:c r="AB10" s="286"/>
      <x:c r="AC10" s="286"/>
      <x:c r="AE10" s="62"/>
      <x:c r="AF10" s="111" t="s">
        <x:v>22</x:v>
      </x:c>
      <x:c r="AG10" s="112"/>
      <x:c r="AH10" s="110">
        <x:v>20</x:v>
      </x:c>
      <x:c r="AI10" s="136">
        <x:v>0.9</x:v>
      </x:c>
      <x:c r="AJ10" s="286"/>
      <x:c r="AK10" s="286"/>
      <x:c r="AL10" s="286"/>
      <x:c r="AN10" s="121"/>
      <x:c r="AO10" s="62"/>
      <x:c r="AP10" s="111" t="s">
        <x:v>22</x:v>
      </x:c>
      <x:c r="AQ10" s="112"/>
      <x:c r="AR10" s="110">
        <x:v>20</x:v>
      </x:c>
      <x:c r="AS10" s="136">
        <x:v>0.9</x:v>
      </x:c>
      <x:c r="AT10" s="286"/>
      <x:c r="AU10" s="286"/>
      <x:c r="AV10" s="286"/>
      <x:c r="AW10" s="121"/>
      <x:c r="AX10" s="121"/>
      <x:c r="AY10" s="62"/>
      <x:c r="AZ10" s="111" t="s">
        <x:v>22</x:v>
      </x:c>
      <x:c r="BA10" s="112"/>
      <x:c r="BB10" s="110">
        <x:v>20</x:v>
      </x:c>
      <x:c r="BC10" s="136">
        <x:v>0.9</x:v>
      </x:c>
      <x:c r="BD10" s="286"/>
      <x:c r="BE10" s="286"/>
      <x:c r="BF10" s="286"/>
      <x:c r="BH10" s="62"/>
      <x:c r="BI10" s="111" t="s">
        <x:v>22</x:v>
      </x:c>
      <x:c r="BJ10" s="112"/>
      <x:c r="BK10" s="110">
        <x:v>20</x:v>
      </x:c>
      <x:c r="BL10" s="136">
        <x:v>0.9</x:v>
      </x:c>
      <x:c r="BM10" s="286"/>
      <x:c r="BN10" s="286"/>
      <x:c r="BO10" s="286"/>
      <x:c r="BQ10" s="62"/>
      <x:c r="BR10" s="111" t="s">
        <x:v>22</x:v>
      </x:c>
      <x:c r="BS10" s="112"/>
      <x:c r="BT10" s="110">
        <x:v>20</x:v>
      </x:c>
      <x:c r="BU10" s="136">
        <x:v>0.9</x:v>
      </x:c>
      <x:c r="BV10" s="286"/>
      <x:c r="BW10" s="286"/>
      <x:c r="BX10" s="286"/>
    </x:row>
    <x:row r="11" ht="21" customHeight="1">
      <x:c r="C11" s="62"/>
      <x:c r="D11" s="287" t="s">
        <x:v>23</x:v>
      </x:c>
      <x:c r="E11" s="288"/>
      <x:c r="F11" s="74">
        <x:f>SUM(F6:F10)</x:f>
        <x:v>100</x:v>
      </x:c>
      <x:c r="G11" s="75"/>
      <x:c r="H11" s="76" t="s">
        <x:v>14</x:v>
      </x:c>
      <x:c r="I11" s="76" t="s">
        <x:v>15</x:v>
      </x:c>
      <x:c r="J11" s="76" t="s">
        <x:v>16</x:v>
      </x:c>
      <x:c r="M11" s="62"/>
      <x:c r="N11" s="287" t="s">
        <x:v>23</x:v>
      </x:c>
      <x:c r="O11" s="288"/>
      <x:c r="P11" s="74">
        <x:f>SUM(P6:P10)</x:f>
        <x:v>100</x:v>
      </x:c>
      <x:c r="Q11" s="75"/>
      <x:c r="R11" s="76" t="s">
        <x:v>14</x:v>
      </x:c>
      <x:c r="S11" s="76" t="s">
        <x:v>15</x:v>
      </x:c>
      <x:c r="T11" s="76" t="s">
        <x:v>16</x:v>
      </x:c>
      <x:c r="V11" s="62"/>
      <x:c r="W11" s="287" t="s">
        <x:v>23</x:v>
      </x:c>
      <x:c r="X11" s="288"/>
      <x:c r="Y11" s="74">
        <x:f>SUM(Y6:Y10)</x:f>
        <x:v>100</x:v>
      </x:c>
      <x:c r="Z11" s="75"/>
      <x:c r="AA11" s="76" t="s">
        <x:v>14</x:v>
      </x:c>
      <x:c r="AB11" s="76" t="s">
        <x:v>15</x:v>
      </x:c>
      <x:c r="AC11" s="76" t="s">
        <x:v>16</x:v>
      </x:c>
      <x:c r="AE11" s="62"/>
      <x:c r="AF11" s="287" t="s">
        <x:v>23</x:v>
      </x:c>
      <x:c r="AG11" s="288"/>
      <x:c r="AH11" s="74">
        <x:f>SUM(AH6:AH10)</x:f>
        <x:v>100</x:v>
      </x:c>
      <x:c r="AI11" s="75"/>
      <x:c r="AJ11" s="76" t="s">
        <x:v>14</x:v>
      </x:c>
      <x:c r="AK11" s="76" t="s">
        <x:v>15</x:v>
      </x:c>
      <x:c r="AL11" s="76" t="s">
        <x:v>16</x:v>
      </x:c>
      <x:c r="AN11" s="121"/>
      <x:c r="AO11" s="62"/>
      <x:c r="AP11" s="287" t="s">
        <x:v>23</x:v>
      </x:c>
      <x:c r="AQ11" s="288"/>
      <x:c r="AR11" s="74">
        <x:f>SUM(AR6:AR10)</x:f>
        <x:v>100</x:v>
      </x:c>
      <x:c r="AS11" s="75"/>
      <x:c r="AT11" s="76" t="s">
        <x:v>14</x:v>
      </x:c>
      <x:c r="AU11" s="76" t="s">
        <x:v>15</x:v>
      </x:c>
      <x:c r="AV11" s="76" t="s">
        <x:v>16</x:v>
      </x:c>
      <x:c r="AW11" s="121"/>
      <x:c r="AX11" s="121"/>
      <x:c r="AY11" s="62"/>
      <x:c r="AZ11" s="287" t="s">
        <x:v>23</x:v>
      </x:c>
      <x:c r="BA11" s="288"/>
      <x:c r="BB11" s="74">
        <x:f>SUM(BB6:BB10)</x:f>
        <x:v>100</x:v>
      </x:c>
      <x:c r="BC11" s="75"/>
      <x:c r="BD11" s="76" t="s">
        <x:v>14</x:v>
      </x:c>
      <x:c r="BE11" s="76" t="s">
        <x:v>15</x:v>
      </x:c>
      <x:c r="BF11" s="76" t="s">
        <x:v>16</x:v>
      </x:c>
      <x:c r="BH11" s="62"/>
      <x:c r="BI11" s="287" t="s">
        <x:v>23</x:v>
      </x:c>
      <x:c r="BJ11" s="288"/>
      <x:c r="BK11" s="74">
        <x:f>SUM(BK6:BK10)</x:f>
        <x:v>100</x:v>
      </x:c>
      <x:c r="BL11" s="75"/>
      <x:c r="BM11" s="76" t="s">
        <x:v>14</x:v>
      </x:c>
      <x:c r="BN11" s="76" t="s">
        <x:v>15</x:v>
      </x:c>
      <x:c r="BO11" s="76" t="s">
        <x:v>16</x:v>
      </x:c>
      <x:c r="BQ11" s="62"/>
      <x:c r="BR11" s="287" t="s">
        <x:v>23</x:v>
      </x:c>
      <x:c r="BS11" s="288"/>
      <x:c r="BT11" s="74">
        <x:f>SUM(BT6:BT10)</x:f>
        <x:v>100</x:v>
      </x:c>
      <x:c r="BU11" s="75"/>
      <x:c r="BV11" s="76" t="s">
        <x:v>14</x:v>
      </x:c>
      <x:c r="BW11" s="76" t="s">
        <x:v>15</x:v>
      </x:c>
      <x:c r="BX11" s="76" t="s">
        <x:v>16</x:v>
      </x:c>
    </x:row>
    <x:row r="12">
      <x:c r="C12" s="62"/>
      <x:c r="I12" s="62"/>
      <x:c r="J12" s="62"/>
      <x:c r="M12" s="62"/>
      <x:c r="S12" s="62"/>
      <x:c r="T12" s="62"/>
      <x:c r="V12" s="62"/>
      <x:c r="AB12" s="62"/>
      <x:c r="AC12" s="62"/>
      <x:c r="AE12" s="62"/>
      <x:c r="AK12" s="62"/>
      <x:c r="AL12" s="62"/>
      <x:c r="AN12" s="121"/>
      <x:c r="AO12" s="62"/>
      <x:c r="AU12" s="62"/>
      <x:c r="AV12" s="62"/>
      <x:c r="AW12" s="121"/>
      <x:c r="AX12" s="121"/>
      <x:c r="AY12" s="62"/>
      <x:c r="BE12" s="62"/>
      <x:c r="BF12" s="62"/>
      <x:c r="BH12" s="62"/>
      <x:c r="BN12" s="62"/>
      <x:c r="BO12" s="62"/>
    </x:row>
    <x:row r="13" ht="12" customHeight="1">
      <x:c r="B13" s="77"/>
      <x:c r="K13" s="197"/>
      <x:c r="L13" s="133"/>
      <x:c r="AN13" s="199"/>
      <x:c r="AO13" s="133"/>
      <x:c r="AP13" s="133"/>
      <x:c r="AQ13" s="133"/>
      <x:c r="AR13" s="133"/>
      <x:c r="AS13" s="133"/>
      <x:c r="AT13" s="133"/>
      <x:c r="AU13" s="133"/>
      <x:c r="AV13" s="133"/>
      <x:c r="AW13" s="199"/>
      <x:c r="AX13" s="121"/>
    </x:row>
    <x:row r="14" ht="21.75" customHeight="1">
      <x:c r="A14" s="133"/>
      <x:c r="B14" s="133"/>
      <x:c r="C14" s="78" t="s">
        <x:v>24</x:v>
      </x:c>
      <x:c r="D14" s="79"/>
      <x:c r="E14" s="79"/>
      <x:c r="F14" s="79"/>
      <x:c r="G14" s="66" t="s">
        <x:v>25</x:v>
      </x:c>
      <x:c r="H14" s="66" t="s">
        <x:v>26</x:v>
      </x:c>
      <x:c r="I14" s="80" t="s">
        <x:v>27</x:v>
      </x:c>
      <x:c r="J14" s="80" t="s">
        <x:v>28</x:v>
      </x:c>
      <x:c r="K14" s="133"/>
      <x:c r="L14" s="133"/>
      <x:c r="M14" s="78" t="s">
        <x:v>24</x:v>
      </x:c>
      <x:c r="N14" s="79"/>
      <x:c r="O14" s="79"/>
      <x:c r="P14" s="79"/>
      <x:c r="Q14" s="135" t="s">
        <x:v>25</x:v>
      </x:c>
      <x:c r="R14" s="135" t="s">
        <x:v>26</x:v>
      </x:c>
      <x:c r="S14" s="80" t="s">
        <x:v>27</x:v>
      </x:c>
      <x:c r="T14" s="80" t="s">
        <x:v>28</x:v>
      </x:c>
      <x:c r="U14" s="133"/>
      <x:c r="V14" s="78" t="s">
        <x:v>24</x:v>
      </x:c>
      <x:c r="W14" s="79"/>
      <x:c r="X14" s="79"/>
      <x:c r="Y14" s="79"/>
      <x:c r="Z14" s="135" t="s">
        <x:v>25</x:v>
      </x:c>
      <x:c r="AA14" s="135" t="s">
        <x:v>26</x:v>
      </x:c>
      <x:c r="AB14" s="80" t="s">
        <x:v>27</x:v>
      </x:c>
      <x:c r="AC14" s="80" t="s">
        <x:v>28</x:v>
      </x:c>
      <x:c r="AD14" s="133"/>
      <x:c r="AE14" s="78" t="s">
        <x:v>24</x:v>
      </x:c>
      <x:c r="AF14" s="79"/>
      <x:c r="AG14" s="79"/>
      <x:c r="AH14" s="79"/>
      <x:c r="AI14" s="135" t="s">
        <x:v>25</x:v>
      </x:c>
      <x:c r="AJ14" s="135" t="s">
        <x:v>26</x:v>
      </x:c>
      <x:c r="AK14" s="80" t="s">
        <x:v>27</x:v>
      </x:c>
      <x:c r="AL14" s="80" t="s">
        <x:v>28</x:v>
      </x:c>
      <x:c r="AM14" s="133"/>
      <x:c r="AN14" s="134"/>
      <x:c r="AO14" s="78" t="s">
        <x:v>24</x:v>
      </x:c>
      <x:c r="AP14" s="79"/>
      <x:c r="AQ14" s="79"/>
      <x:c r="AR14" s="79"/>
      <x:c r="AS14" s="135" t="s">
        <x:v>25</x:v>
      </x:c>
      <x:c r="AT14" s="135" t="s">
        <x:v>26</x:v>
      </x:c>
      <x:c r="AU14" s="80" t="s">
        <x:v>27</x:v>
      </x:c>
      <x:c r="AV14" s="80" t="s">
        <x:v>28</x:v>
      </x:c>
      <x:c r="AW14" s="134"/>
      <x:c r="AX14" s="134"/>
      <x:c r="AY14" s="78" t="s">
        <x:v>24</x:v>
      </x:c>
      <x:c r="AZ14" s="79"/>
      <x:c r="BA14" s="79"/>
      <x:c r="BB14" s="79"/>
      <x:c r="BC14" s="135" t="s">
        <x:v>25</x:v>
      </x:c>
      <x:c r="BD14" s="135" t="s">
        <x:v>26</x:v>
      </x:c>
      <x:c r="BE14" s="80" t="s">
        <x:v>27</x:v>
      </x:c>
      <x:c r="BF14" s="80" t="s">
        <x:v>28</x:v>
      </x:c>
      <x:c r="BG14" s="133"/>
      <x:c r="BH14" s="78" t="s">
        <x:v>24</x:v>
      </x:c>
      <x:c r="BI14" s="79"/>
      <x:c r="BJ14" s="79"/>
      <x:c r="BK14" s="79"/>
      <x:c r="BL14" s="135" t="s">
        <x:v>25</x:v>
      </x:c>
      <x:c r="BM14" s="135" t="s">
        <x:v>26</x:v>
      </x:c>
      <x:c r="BN14" s="80" t="s">
        <x:v>27</x:v>
      </x:c>
      <x:c r="BO14" s="80" t="s">
        <x:v>28</x:v>
      </x:c>
      <x:c r="BP14" s="133"/>
      <x:c r="BQ14" s="78" t="s">
        <x:v>24</x:v>
      </x:c>
      <x:c r="BR14" s="79"/>
      <x:c r="BS14" s="79"/>
      <x:c r="BT14" s="79"/>
      <x:c r="BU14" s="207" t="s">
        <x:v>25</x:v>
      </x:c>
      <x:c r="BV14" s="207" t="s">
        <x:v>26</x:v>
      </x:c>
      <x:c r="BW14" s="80" t="s">
        <x:v>27</x:v>
      </x:c>
      <x:c r="BX14" s="80" t="s">
        <x:v>28</x:v>
      </x:c>
    </x:row>
    <x:row r="15" ht="21.75" customHeight="1">
      <x:c r="A15" s="133"/>
      <x:c r="B15" s="133"/>
      <x:c r="C15" s="81">
        <x:v>1</x:v>
      </x:c>
      <x:c r="D15" s="82" t="s">
        <x:v>29</x:v>
      </x:c>
      <x:c r="E15" s="83"/>
      <x:c r="F15" s="84"/>
      <x:c r="G15" s="81">
        <x:v>2350</x:v>
      </x:c>
      <x:c r="H15" s="81">
        <x:v>2474</x:v>
      </x:c>
      <x:c r="I15" s="126">
        <x:f>MIN(H15/G15,1)</x:f>
        <x:v>1</x:v>
      </x:c>
      <x:c r="J15" s="85">
        <x:f>I15*0.2</x:f>
        <x:v>0.2</x:v>
      </x:c>
      <x:c r="K15" s="133"/>
      <x:c r="L15" s="133"/>
      <x:c r="M15" s="81">
        <x:v>2</x:v>
      </x:c>
      <x:c r="N15" s="82" t="s">
        <x:v>30</x:v>
      </x:c>
      <x:c r="O15" s="83"/>
      <x:c r="P15" s="84"/>
      <x:c r="Q15" s="215">
        <x:v>2350</x:v>
      </x:c>
      <x:c r="R15" s="209">
        <x:v>2239</x:v>
      </x:c>
      <x:c r="S15" s="126">
        <x:f>MIN(R15/Q15,1)</x:f>
        <x:v>0.95276595744680848</x:v>
      </x:c>
      <x:c r="T15" s="85">
        <x:f>S15*0.2</x:f>
        <x:v>0.1905531914893617</x:v>
      </x:c>
      <x:c r="U15" s="133"/>
      <x:c r="V15" s="81">
        <x:v>3</x:v>
      </x:c>
      <x:c r="W15" s="82" t="s">
        <x:v>31</x:v>
      </x:c>
      <x:c r="X15" s="83"/>
      <x:c r="Y15" s="84"/>
      <x:c r="Z15" s="215">
        <x:v>2350</x:v>
      </x:c>
      <x:c r="AA15" s="209">
        <x:v>2404</x:v>
      </x:c>
      <x:c r="AB15" s="126">
        <x:f>MIN(AA15/Z15,1)</x:f>
        <x:v>1</x:v>
      </x:c>
      <x:c r="AC15" s="85">
        <x:f>AB15*0.2</x:f>
        <x:v>0.2</x:v>
      </x:c>
      <x:c r="AD15" s="133"/>
      <x:c r="AE15" s="81">
        <x:v>4</x:v>
      </x:c>
      <x:c r="AF15" s="82" t="s">
        <x:v>32</x:v>
      </x:c>
      <x:c r="AG15" s="83"/>
      <x:c r="AH15" s="84"/>
      <x:c r="AI15" s="215">
        <x:v>1375</x:v>
      </x:c>
      <x:c r="AJ15" s="81">
        <x:v>1375</x:v>
      </x:c>
      <x:c r="AK15" s="126">
        <x:f>MIN(AJ15/AI15,1)</x:f>
        <x:v>1</x:v>
      </x:c>
      <x:c r="AL15" s="85">
        <x:f>AK15*0.2</x:f>
        <x:v>0.2</x:v>
      </x:c>
      <x:c r="AM15" s="133"/>
      <x:c r="AN15" s="134"/>
      <x:c r="AO15" s="81">
        <x:v>5</x:v>
      </x:c>
      <x:c r="AP15" s="82" t="s">
        <x:v>33</x:v>
      </x:c>
      <x:c r="AQ15" s="83"/>
      <x:c r="AR15" s="84"/>
      <x:c r="AS15" s="215">
        <x:v>2350</x:v>
      </x:c>
      <x:c r="AT15" s="209">
        <x:v>2402</x:v>
      </x:c>
      <x:c r="AU15" s="126">
        <x:f>MIN(AT15/AS15,1)</x:f>
        <x:v>1</x:v>
      </x:c>
      <x:c r="AV15" s="85">
        <x:f>AU15*0.2</x:f>
        <x:v>0.2</x:v>
      </x:c>
      <x:c r="AW15" s="134"/>
      <x:c r="AX15" s="134"/>
      <x:c r="AY15" s="81">
        <x:v>6</x:v>
      </x:c>
      <x:c r="AZ15" s="82" t="s">
        <x:v>34</x:v>
      </x:c>
      <x:c r="BA15" s="83"/>
      <x:c r="BB15" s="84"/>
      <x:c r="BC15" s="215">
        <x:v>2350</x:v>
      </x:c>
      <x:c r="BD15" s="81">
        <x:v>2492</x:v>
      </x:c>
      <x:c r="BE15" s="126">
        <x:f>MIN(BD15/BC15,1)</x:f>
        <x:v>1</x:v>
      </x:c>
      <x:c r="BF15" s="85">
        <x:f>BE15*0.2</x:f>
        <x:v>0.2</x:v>
      </x:c>
      <x:c r="BG15" s="133"/>
      <x:c r="BH15" s="81">
        <x:v>7</x:v>
      </x:c>
      <x:c r="BI15" s="82" t="s">
        <x:v>35</x:v>
      </x:c>
      <x:c r="BJ15" s="83"/>
      <x:c r="BK15" s="84"/>
      <x:c r="BL15" s="215">
        <x:v>2350</x:v>
      </x:c>
      <x:c r="BM15" s="81">
        <x:v>2416</x:v>
      </x:c>
      <x:c r="BN15" s="126">
        <x:f>MIN(BM15/BL15,1)</x:f>
        <x:v>1</x:v>
      </x:c>
      <x:c r="BO15" s="85">
        <x:f>BN15*0.2</x:f>
        <x:v>0.2</x:v>
      </x:c>
      <x:c r="BP15" s="133"/>
      <x:c r="BQ15" s="209">
        <x:v>7</x:v>
      </x:c>
      <x:c r="BR15" s="82" t="s">
        <x:v>36</x:v>
      </x:c>
      <x:c r="BS15" s="83"/>
      <x:c r="BT15" s="84"/>
      <x:c r="BU15" s="209">
        <x:v>2350</x:v>
      </x:c>
      <x:c r="BV15" s="209">
        <x:v>2405</x:v>
      </x:c>
      <x:c r="BW15" s="126">
        <x:f>MIN(BV15/BU15,1)</x:f>
        <x:v>1</x:v>
      </x:c>
      <x:c r="BX15" s="85">
        <x:f>BW15*0.2</x:f>
        <x:v>0.2</x:v>
      </x:c>
    </x:row>
    <x:row r="16" ht="21.75" customHeight="1">
      <x:c r="A16" s="133"/>
      <x:c r="B16" s="133"/>
      <x:c r="C16" s="106" t="s">
        <x:v>37</x:v>
      </x:c>
      <x:c r="D16" s="107"/>
      <x:c r="E16" s="107"/>
      <x:c r="F16" s="107"/>
      <x:c r="G16" s="107"/>
      <x:c r="H16" s="107"/>
      <x:c r="I16" s="107"/>
      <x:c r="J16" s="108"/>
      <x:c r="K16" s="133"/>
      <x:c r="L16" s="133"/>
      <x:c r="M16" s="106" t="s">
        <x:v>37</x:v>
      </x:c>
      <x:c r="N16" s="131"/>
      <x:c r="O16" s="131"/>
      <x:c r="P16" s="131"/>
      <x:c r="Q16" s="131"/>
      <x:c r="R16" s="131"/>
      <x:c r="S16" s="131"/>
      <x:c r="T16" s="132"/>
      <x:c r="U16" s="133"/>
      <x:c r="V16" s="106" t="s">
        <x:v>37</x:v>
      </x:c>
      <x:c r="W16" s="131"/>
      <x:c r="X16" s="131"/>
      <x:c r="Y16" s="131"/>
      <x:c r="Z16" s="131"/>
      <x:c r="AA16" s="131"/>
      <x:c r="AB16" s="131"/>
      <x:c r="AC16" s="132"/>
      <x:c r="AD16" s="133"/>
      <x:c r="AE16" s="106" t="s">
        <x:v>37</x:v>
      </x:c>
      <x:c r="AF16" s="131"/>
      <x:c r="AG16" s="131"/>
      <x:c r="AH16" s="131"/>
      <x:c r="AI16" s="131"/>
      <x:c r="AJ16" s="131"/>
      <x:c r="AK16" s="131"/>
      <x:c r="AL16" s="132"/>
      <x:c r="AM16" s="133"/>
      <x:c r="AN16" s="134"/>
      <x:c r="AO16" s="106" t="s">
        <x:v>37</x:v>
      </x:c>
      <x:c r="AP16" s="131"/>
      <x:c r="AQ16" s="131"/>
      <x:c r="AR16" s="131"/>
      <x:c r="AS16" s="131"/>
      <x:c r="AT16" s="131"/>
      <x:c r="AU16" s="131"/>
      <x:c r="AV16" s="132"/>
      <x:c r="AW16" s="134"/>
      <x:c r="AX16" s="134"/>
      <x:c r="AY16" s="106" t="s">
        <x:v>37</x:v>
      </x:c>
      <x:c r="AZ16" s="131"/>
      <x:c r="BA16" s="131"/>
      <x:c r="BB16" s="131"/>
      <x:c r="BC16" s="131"/>
      <x:c r="BD16" s="131"/>
      <x:c r="BE16" s="131"/>
      <x:c r="BF16" s="132"/>
      <x:c r="BG16" s="133"/>
      <x:c r="BH16" s="106" t="s">
        <x:v>37</x:v>
      </x:c>
      <x:c r="BI16" s="131"/>
      <x:c r="BJ16" s="131"/>
      <x:c r="BK16" s="131"/>
      <x:c r="BL16" s="131"/>
      <x:c r="BM16" s="131"/>
      <x:c r="BN16" s="131"/>
      <x:c r="BO16" s="132"/>
      <x:c r="BP16" s="133"/>
      <x:c r="BQ16" s="210" t="s">
        <x:v>37</x:v>
      </x:c>
      <x:c r="BR16" s="211"/>
      <x:c r="BS16" s="211"/>
      <x:c r="BT16" s="211"/>
      <x:c r="BU16" s="211"/>
      <x:c r="BV16" s="211"/>
      <x:c r="BW16" s="211"/>
      <x:c r="BX16" s="212"/>
    </x:row>
    <x:row r="17" s="133" customFormat="1" ht="21.75" customHeight="1">
      <x:c r="C17" s="140">
        <x:v>1</x:v>
      </x:c>
      <x:c r="D17" s="141" t="s">
        <x:v>29</x:v>
      </x:c>
      <x:c r="E17" s="142"/>
      <x:c r="F17" s="143"/>
      <x:c r="G17" s="231">
        <x:v>170400</x:v>
      </x:c>
      <x:c r="H17" s="231">
        <x:v>195048.67</x:v>
      </x:c>
      <x:c r="I17" s="126">
        <x:f>MIN(H17/G17,1)</x:f>
        <x:v>1</x:v>
      </x:c>
      <x:c r="J17" s="126">
        <x:f>I17*0.3</x:f>
        <x:v>0.3</x:v>
      </x:c>
      <x:c r="M17" s="140">
        <x:v>2</x:v>
      </x:c>
      <x:c r="N17" s="141" t="s">
        <x:v>30</x:v>
      </x:c>
      <x:c r="O17" s="142"/>
      <x:c r="P17" s="143"/>
      <x:c r="Q17" s="231">
        <x:v>170400</x:v>
      </x:c>
      <x:c r="R17" s="231">
        <x:v>231251.1</x:v>
      </x:c>
      <x:c r="S17" s="126">
        <x:f>MIN(R17/Q17,1)</x:f>
        <x:v>1</x:v>
      </x:c>
      <x:c r="T17" s="126">
        <x:f>S17*0.3</x:f>
        <x:v>0.3</x:v>
      </x:c>
      <x:c r="V17" s="140">
        <x:v>3</x:v>
      </x:c>
      <x:c r="W17" s="141" t="s">
        <x:v>31</x:v>
      </x:c>
      <x:c r="X17" s="142"/>
      <x:c r="Y17" s="143"/>
      <x:c r="Z17" s="231">
        <x:v>170400</x:v>
      </x:c>
      <x:c r="AA17" s="231">
        <x:v>236393.93</x:v>
      </x:c>
      <x:c r="AB17" s="126">
        <x:f>MIN(AA17/Z17,1)</x:f>
        <x:v>1</x:v>
      </x:c>
      <x:c r="AC17" s="126">
        <x:f>AB17*0.3</x:f>
        <x:v>0.3</x:v>
      </x:c>
      <x:c r="AE17" s="140">
        <x:v>4</x:v>
      </x:c>
      <x:c r="AF17" s="141" t="s">
        <x:v>32</x:v>
      </x:c>
      <x:c r="AG17" s="142"/>
      <x:c r="AH17" s="143"/>
      <x:c r="AI17" s="231">
        <x:v>170400</x:v>
      </x:c>
      <x:c r="AJ17" s="231">
        <x:v>265245.53999999998</x:v>
      </x:c>
      <x:c r="AK17" s="126">
        <x:f>MIN(AJ17/AI17,1)</x:f>
        <x:v>1</x:v>
      </x:c>
      <x:c r="AL17" s="126">
        <x:f>AK17*0.3</x:f>
        <x:v>0.3</x:v>
      </x:c>
      <x:c r="AN17" s="134"/>
      <x:c r="AO17" s="140">
        <x:v>5</x:v>
      </x:c>
      <x:c r="AP17" s="141" t="s">
        <x:v>33</x:v>
      </x:c>
      <x:c r="AQ17" s="142"/>
      <x:c r="AR17" s="143"/>
      <x:c r="AS17" s="231">
        <x:v>170400</x:v>
      </x:c>
      <x:c r="AT17" s="231">
        <x:v>202458.85</x:v>
      </x:c>
      <x:c r="AU17" s="126">
        <x:f>MIN(AT17/AS17,1)</x:f>
        <x:v>1</x:v>
      </x:c>
      <x:c r="AV17" s="126">
        <x:f>AU17*0.3</x:f>
        <x:v>0.3</x:v>
      </x:c>
      <x:c r="AW17" s="134"/>
      <x:c r="AX17" s="134"/>
      <x:c r="AY17" s="140">
        <x:v>6</x:v>
      </x:c>
      <x:c r="AZ17" s="141" t="s">
        <x:v>34</x:v>
      </x:c>
      <x:c r="BA17" s="142"/>
      <x:c r="BB17" s="143"/>
      <x:c r="BC17" s="231">
        <x:v>170400</x:v>
      </x:c>
      <x:c r="BD17" s="231">
        <x:v>183702.8</x:v>
      </x:c>
      <x:c r="BE17" s="126">
        <x:f>MIN(BD17/BC17,1)</x:f>
        <x:v>1</x:v>
      </x:c>
      <x:c r="BF17" s="126">
        <x:f>BE17*0.3</x:f>
        <x:v>0.3</x:v>
      </x:c>
      <x:c r="BH17" s="140">
        <x:v>7</x:v>
      </x:c>
      <x:c r="BI17" s="141" t="s">
        <x:v>35</x:v>
      </x:c>
      <x:c r="BJ17" s="142"/>
      <x:c r="BK17" s="143"/>
      <x:c r="BL17" s="231">
        <x:v>170400</x:v>
      </x:c>
      <x:c r="BM17" s="231">
        <x:v>237951.05000000002</x:v>
      </x:c>
      <x:c r="BN17" s="126">
        <x:f>MIN(BM17/BL17,1)</x:f>
        <x:v>1</x:v>
      </x:c>
      <x:c r="BO17" s="126">
        <x:f>BN17*0.3</x:f>
        <x:v>0.3</x:v>
      </x:c>
      <x:c r="BQ17" s="140">
        <x:v>7</x:v>
      </x:c>
      <x:c r="BR17" s="141" t="s">
        <x:v>36</x:v>
      </x:c>
      <x:c r="BS17" s="142"/>
      <x:c r="BT17" s="143"/>
      <x:c r="BU17" s="231">
        <x:v>170400</x:v>
      </x:c>
      <x:c r="BV17" s="231">
        <x:v>243309.74</x:v>
      </x:c>
      <x:c r="BW17" s="126">
        <x:f>MIN(BV17/BU17,1)</x:f>
        <x:v>1</x:v>
      </x:c>
      <x:c r="BX17" s="126">
        <x:f>BW17*0.3</x:f>
        <x:v>0.3</x:v>
      </x:c>
    </x:row>
    <x:row r="18" ht="21.75" customHeight="1">
      <x:c r="A18" s="133"/>
      <x:c r="B18" s="133"/>
      <x:c r="C18" s="99" t="s">
        <x:v>38</x:v>
      </x:c>
      <x:c r="D18" s="99"/>
      <x:c r="E18" s="99"/>
      <x:c r="F18" s="99"/>
      <x:c r="G18" s="99"/>
      <x:c r="H18" s="99"/>
      <x:c r="I18" s="99"/>
      <x:c r="J18" s="99"/>
      <x:c r="K18" s="133"/>
      <x:c r="L18" s="133"/>
      <x:c r="M18" s="99" t="s">
        <x:v>38</x:v>
      </x:c>
      <x:c r="N18" s="99"/>
      <x:c r="O18" s="99"/>
      <x:c r="P18" s="99"/>
      <x:c r="Q18" s="99"/>
      <x:c r="R18" s="99"/>
      <x:c r="S18" s="99"/>
      <x:c r="T18" s="99"/>
      <x:c r="U18" s="133"/>
      <x:c r="V18" s="99" t="s">
        <x:v>38</x:v>
      </x:c>
      <x:c r="W18" s="99"/>
      <x:c r="X18" s="99"/>
      <x:c r="Y18" s="99"/>
      <x:c r="Z18" s="99"/>
      <x:c r="AA18" s="99"/>
      <x:c r="AB18" s="99"/>
      <x:c r="AC18" s="99"/>
      <x:c r="AD18" s="133"/>
      <x:c r="AE18" s="99" t="s">
        <x:v>38</x:v>
      </x:c>
      <x:c r="AF18" s="99"/>
      <x:c r="AG18" s="99"/>
      <x:c r="AH18" s="99"/>
      <x:c r="AI18" s="99"/>
      <x:c r="AJ18" s="99"/>
      <x:c r="AK18" s="99"/>
      <x:c r="AL18" s="99"/>
      <x:c r="AM18" s="133"/>
      <x:c r="AN18" s="134"/>
      <x:c r="AO18" s="99" t="s">
        <x:v>38</x:v>
      </x:c>
      <x:c r="AP18" s="99"/>
      <x:c r="AQ18" s="99"/>
      <x:c r="AR18" s="99"/>
      <x:c r="AS18" s="99"/>
      <x:c r="AT18" s="99"/>
      <x:c r="AU18" s="99"/>
      <x:c r="AV18" s="99"/>
      <x:c r="AW18" s="134"/>
      <x:c r="AX18" s="134"/>
      <x:c r="AY18" s="99" t="s">
        <x:v>38</x:v>
      </x:c>
      <x:c r="AZ18" s="99"/>
      <x:c r="BA18" s="99"/>
      <x:c r="BB18" s="99"/>
      <x:c r="BC18" s="99"/>
      <x:c r="BD18" s="99"/>
      <x:c r="BE18" s="99"/>
      <x:c r="BF18" s="99"/>
      <x:c r="BG18" s="133"/>
      <x:c r="BH18" s="99" t="s">
        <x:v>38</x:v>
      </x:c>
      <x:c r="BI18" s="99"/>
      <x:c r="BJ18" s="99"/>
      <x:c r="BK18" s="99"/>
      <x:c r="BL18" s="99"/>
      <x:c r="BM18" s="99"/>
      <x:c r="BN18" s="99"/>
      <x:c r="BO18" s="99"/>
      <x:c r="BP18" s="133"/>
      <x:c r="BQ18" s="99" t="s">
        <x:v>38</x:v>
      </x:c>
      <x:c r="BR18" s="99"/>
      <x:c r="BS18" s="99"/>
      <x:c r="BT18" s="99"/>
      <x:c r="BU18" s="99"/>
      <x:c r="BV18" s="99"/>
      <x:c r="BW18" s="99"/>
      <x:c r="BX18" s="99"/>
    </x:row>
    <x:row r="19" ht="21.75" customHeight="1">
      <x:c r="A19" s="133"/>
      <x:c r="B19" s="133"/>
      <x:c r="C19" s="81">
        <x:v>1</x:v>
      </x:c>
      <x:c r="D19" s="82" t="s">
        <x:v>29</x:v>
      </x:c>
      <x:c r="E19" s="83"/>
      <x:c r="F19" s="84"/>
      <x:c r="G19" s="81">
        <x:v>550</x:v>
      </x:c>
      <x:c r="H19" s="81">
        <x:v>591</x:v>
      </x:c>
      <x:c r="I19" s="126">
        <x:f>MIN(H19/G19,1)</x:f>
        <x:v>1</x:v>
      </x:c>
      <x:c r="J19" s="85">
        <x:f>I19*0.2</x:f>
        <x:v>0.2</x:v>
      </x:c>
      <x:c r="K19" s="133"/>
      <x:c r="L19" s="133"/>
      <x:c r="M19" s="81">
        <x:v>2</x:v>
      </x:c>
      <x:c r="N19" s="82" t="s">
        <x:v>30</x:v>
      </x:c>
      <x:c r="O19" s="83"/>
      <x:c r="P19" s="84"/>
      <x:c r="Q19" s="81">
        <x:v>550</x:v>
      </x:c>
      <x:c r="R19" s="209">
        <x:v>538</x:v>
      </x:c>
      <x:c r="S19" s="126">
        <x:f>MIN(R19/Q19,1)</x:f>
        <x:v>0.97818181818181815</x:v>
      </x:c>
      <x:c r="T19" s="85">
        <x:f>S19*0.2</x:f>
        <x:v>0.19563636363636364</x:v>
      </x:c>
      <x:c r="U19" s="133"/>
      <x:c r="V19" s="81">
        <x:v>3</x:v>
      </x:c>
      <x:c r="W19" s="82" t="s">
        <x:v>31</x:v>
      </x:c>
      <x:c r="X19" s="83"/>
      <x:c r="Y19" s="84"/>
      <x:c r="Z19" s="81">
        <x:v>550</x:v>
      </x:c>
      <x:c r="AA19" s="209">
        <x:v>553</x:v>
      </x:c>
      <x:c r="AB19" s="126">
        <x:f>MIN(AA19/Z19,1)</x:f>
        <x:v>1</x:v>
      </x:c>
      <x:c r="AC19" s="85">
        <x:f>AB19*0.2</x:f>
        <x:v>0.2</x:v>
      </x:c>
      <x:c r="AD19" s="133"/>
      <x:c r="AE19" s="81">
        <x:v>4</x:v>
      </x:c>
      <x:c r="AF19" s="82" t="s">
        <x:v>32</x:v>
      </x:c>
      <x:c r="AG19" s="83"/>
      <x:c r="AH19" s="84"/>
      <x:c r="AI19" s="81">
        <x:v>550</x:v>
      </x:c>
      <x:c r="AJ19" s="81">
        <x:v>478</x:v>
      </x:c>
      <x:c r="AK19" s="126">
        <x:f>MIN(AJ19/AI19,1)</x:f>
        <x:v>0.86909090909090914</x:v>
      </x:c>
      <x:c r="AL19" s="85">
        <x:f>AK19*0.2</x:f>
        <x:v>0.17381818181818184</x:v>
      </x:c>
      <x:c r="AM19" s="133"/>
      <x:c r="AN19" s="134"/>
      <x:c r="AO19" s="81">
        <x:v>5</x:v>
      </x:c>
      <x:c r="AP19" s="82" t="s">
        <x:v>33</x:v>
      </x:c>
      <x:c r="AQ19" s="83"/>
      <x:c r="AR19" s="84"/>
      <x:c r="AS19" s="81">
        <x:v>550</x:v>
      </x:c>
      <x:c r="AT19" s="209">
        <x:v>561</x:v>
      </x:c>
      <x:c r="AU19" s="126">
        <x:f>MIN(AT19/AS19,1)</x:f>
        <x:v>1</x:v>
      </x:c>
      <x:c r="AV19" s="85">
        <x:f>AU19*0.2</x:f>
        <x:v>0.2</x:v>
      </x:c>
      <x:c r="AW19" s="134"/>
      <x:c r="AX19" s="134"/>
      <x:c r="AY19" s="81">
        <x:v>6</x:v>
      </x:c>
      <x:c r="AZ19" s="82" t="s">
        <x:v>34</x:v>
      </x:c>
      <x:c r="BA19" s="83"/>
      <x:c r="BB19" s="84"/>
      <x:c r="BC19" s="81">
        <x:v>550</x:v>
      </x:c>
      <x:c r="BD19" s="81">
        <x:v>553</x:v>
      </x:c>
      <x:c r="BE19" s="126">
        <x:f>MIN(BD19/BC19,1)</x:f>
        <x:v>1</x:v>
      </x:c>
      <x:c r="BF19" s="85">
        <x:f>BE19*0.2</x:f>
        <x:v>0.2</x:v>
      </x:c>
      <x:c r="BG19" s="133"/>
      <x:c r="BH19" s="81">
        <x:v>7</x:v>
      </x:c>
      <x:c r="BI19" s="82" t="s">
        <x:v>35</x:v>
      </x:c>
      <x:c r="BJ19" s="83"/>
      <x:c r="BK19" s="84"/>
      <x:c r="BL19" s="81">
        <x:v>550</x:v>
      </x:c>
      <x:c r="BM19" s="81">
        <x:v>555</x:v>
      </x:c>
      <x:c r="BN19" s="126">
        <x:f>MIN(BM19/BL19,1)</x:f>
        <x:v>1</x:v>
      </x:c>
      <x:c r="BO19" s="85">
        <x:f>BN19*0.2</x:f>
        <x:v>0.2</x:v>
      </x:c>
      <x:c r="BP19" s="133"/>
      <x:c r="BQ19" s="209">
        <x:v>7</x:v>
      </x:c>
      <x:c r="BR19" s="82" t="s">
        <x:v>36</x:v>
      </x:c>
      <x:c r="BS19" s="83"/>
      <x:c r="BT19" s="84"/>
      <x:c r="BU19" s="209">
        <x:v>550</x:v>
      </x:c>
      <x:c r="BV19" s="209">
        <x:v>615</x:v>
      </x:c>
      <x:c r="BW19" s="126">
        <x:f>MIN(BV19/BU19,1)</x:f>
        <x:v>1</x:v>
      </x:c>
      <x:c r="BX19" s="85">
        <x:f>BW19*0.2</x:f>
        <x:v>0.2</x:v>
      </x:c>
    </x:row>
    <x:row r="20" ht="21.75" customHeight="1">
      <x:c r="A20" s="133"/>
      <x:c r="B20" s="133"/>
      <x:c r="C20" s="86" t="s">
        <x:v>39</x:v>
      </x:c>
      <x:c r="D20" s="86"/>
      <x:c r="E20" s="86"/>
      <x:c r="F20" s="86"/>
      <x:c r="G20" s="86"/>
      <x:c r="H20" s="86"/>
      <x:c r="I20" s="86"/>
      <x:c r="J20" s="87"/>
      <x:c r="K20" s="133"/>
      <x:c r="L20" s="133"/>
      <x:c r="M20" s="86" t="s">
        <x:v>39</x:v>
      </x:c>
      <x:c r="N20" s="86"/>
      <x:c r="O20" s="86"/>
      <x:c r="P20" s="86"/>
      <x:c r="Q20" s="86"/>
      <x:c r="R20" s="86"/>
      <x:c r="S20" s="86"/>
      <x:c r="T20" s="87"/>
      <x:c r="U20" s="133"/>
      <x:c r="V20" s="86" t="s">
        <x:v>39</x:v>
      </x:c>
      <x:c r="W20" s="86"/>
      <x:c r="X20" s="86"/>
      <x:c r="Y20" s="86"/>
      <x:c r="Z20" s="86"/>
      <x:c r="AA20" s="86"/>
      <x:c r="AB20" s="86"/>
      <x:c r="AC20" s="87"/>
      <x:c r="AD20" s="133"/>
      <x:c r="AE20" s="86" t="s">
        <x:v>39</x:v>
      </x:c>
      <x:c r="AF20" s="86"/>
      <x:c r="AG20" s="86"/>
      <x:c r="AH20" s="86"/>
      <x:c r="AI20" s="86"/>
      <x:c r="AJ20" s="86"/>
      <x:c r="AK20" s="86"/>
      <x:c r="AL20" s="87"/>
      <x:c r="AM20" s="133"/>
      <x:c r="AN20" s="134"/>
      <x:c r="AO20" s="86" t="s">
        <x:v>39</x:v>
      </x:c>
      <x:c r="AP20" s="86"/>
      <x:c r="AQ20" s="86"/>
      <x:c r="AR20" s="86"/>
      <x:c r="AS20" s="86"/>
      <x:c r="AT20" s="86"/>
      <x:c r="AU20" s="86"/>
      <x:c r="AV20" s="87"/>
      <x:c r="AW20" s="134"/>
      <x:c r="AX20" s="134"/>
      <x:c r="AY20" s="86" t="s">
        <x:v>39</x:v>
      </x:c>
      <x:c r="AZ20" s="86"/>
      <x:c r="BA20" s="86"/>
      <x:c r="BB20" s="86"/>
      <x:c r="BC20" s="86"/>
      <x:c r="BD20" s="86"/>
      <x:c r="BE20" s="86"/>
      <x:c r="BF20" s="87"/>
      <x:c r="BG20" s="133"/>
      <x:c r="BH20" s="86" t="s">
        <x:v>39</x:v>
      </x:c>
      <x:c r="BI20" s="86"/>
      <x:c r="BJ20" s="86"/>
      <x:c r="BK20" s="86"/>
      <x:c r="BL20" s="86"/>
      <x:c r="BM20" s="86"/>
      <x:c r="BN20" s="86"/>
      <x:c r="BO20" s="87"/>
      <x:c r="BP20" s="133"/>
      <x:c r="BQ20" s="86" t="s">
        <x:v>39</x:v>
      </x:c>
      <x:c r="BR20" s="86"/>
      <x:c r="BS20" s="86"/>
      <x:c r="BT20" s="86"/>
      <x:c r="BU20" s="86"/>
      <x:c r="BV20" s="86"/>
      <x:c r="BW20" s="86"/>
      <x:c r="BX20" s="87"/>
    </x:row>
    <x:row r="21" s="133" customFormat="1" ht="21.75" customHeight="1">
      <x:c r="C21" s="140">
        <x:v>1</x:v>
      </x:c>
      <x:c r="D21" s="141" t="s">
        <x:v>29</x:v>
      </x:c>
      <x:c r="E21" s="230"/>
      <x:c r="F21" s="230"/>
      <x:c r="G21" s="220">
        <x:v>0.8</x:v>
      </x:c>
      <x:c r="H21" s="126">
        <x:v>1</x:v>
      </x:c>
      <x:c r="I21" s="126">
        <x:f>MIN(H21/G21,1)</x:f>
        <x:v>1</x:v>
      </x:c>
      <x:c r="J21" s="219">
        <x:f>I21*0.1</x:f>
        <x:v>0.1</x:v>
      </x:c>
      <x:c r="M21" s="140">
        <x:v>2</x:v>
      </x:c>
      <x:c r="N21" s="141" t="s">
        <x:v>30</x:v>
      </x:c>
      <x:c r="O21" s="142"/>
      <x:c r="P21" s="142"/>
      <x:c r="Q21" s="220">
        <x:v>0.8</x:v>
      </x:c>
      <x:c r="R21" s="126">
        <x:v>1</x:v>
      </x:c>
      <x:c r="S21" s="126">
        <x:f>MIN(R21/Q21,1)</x:f>
        <x:v>1</x:v>
      </x:c>
      <x:c r="T21" s="219">
        <x:f>S21*0.1</x:f>
        <x:v>0.1</x:v>
      </x:c>
      <x:c r="V21" s="140">
        <x:v>3</x:v>
      </x:c>
      <x:c r="W21" s="141" t="s">
        <x:v>31</x:v>
      </x:c>
      <x:c r="X21" s="142"/>
      <x:c r="Y21" s="142"/>
      <x:c r="Z21" s="220">
        <x:v>0.8</x:v>
      </x:c>
      <x:c r="AA21" s="126">
        <x:v>1</x:v>
      </x:c>
      <x:c r="AB21" s="126">
        <x:f>MIN(AA21/Z21,1)</x:f>
        <x:v>1</x:v>
      </x:c>
      <x:c r="AC21" s="219">
        <x:f>AB21*0.1</x:f>
        <x:v>0.1</x:v>
      </x:c>
      <x:c r="AE21" s="140">
        <x:v>4</x:v>
      </x:c>
      <x:c r="AF21" s="141" t="s">
        <x:v>32</x:v>
      </x:c>
      <x:c r="AG21" s="142"/>
      <x:c r="AH21" s="142"/>
      <x:c r="AI21" s="220">
        <x:v>0.8</x:v>
      </x:c>
      <x:c r="AJ21" s="126">
        <x:v>1</x:v>
      </x:c>
      <x:c r="AK21" s="126">
        <x:f>MIN(AJ21/AI21,1)</x:f>
        <x:v>1</x:v>
      </x:c>
      <x:c r="AL21" s="219">
        <x:f>AK21*0.1</x:f>
        <x:v>0.1</x:v>
      </x:c>
      <x:c r="AN21" s="134"/>
      <x:c r="AO21" s="140">
        <x:v>5</x:v>
      </x:c>
      <x:c r="AP21" s="141" t="s">
        <x:v>33</x:v>
      </x:c>
      <x:c r="AQ21" s="142"/>
      <x:c r="AR21" s="142"/>
      <x:c r="AS21" s="220">
        <x:v>0.8</x:v>
      </x:c>
      <x:c r="AT21" s="126">
        <x:v>1</x:v>
      </x:c>
      <x:c r="AU21" s="126">
        <x:f>MIN(AT21/AS21,1)</x:f>
        <x:v>1</x:v>
      </x:c>
      <x:c r="AV21" s="219">
        <x:f>AU21*0.1</x:f>
        <x:v>0.1</x:v>
      </x:c>
      <x:c r="AW21" s="134"/>
      <x:c r="AX21" s="134"/>
      <x:c r="AY21" s="140">
        <x:v>6</x:v>
      </x:c>
      <x:c r="AZ21" s="141" t="s">
        <x:v>34</x:v>
      </x:c>
      <x:c r="BA21" s="142"/>
      <x:c r="BB21" s="142"/>
      <x:c r="BC21" s="220">
        <x:v>0.8</x:v>
      </x:c>
      <x:c r="BD21" s="126">
        <x:v>1</x:v>
      </x:c>
      <x:c r="BE21" s="126">
        <x:f>MIN(BD21/BC21,1)</x:f>
        <x:v>1</x:v>
      </x:c>
      <x:c r="BF21" s="219">
        <x:f>BE21*0.1</x:f>
        <x:v>0.1</x:v>
      </x:c>
      <x:c r="BH21" s="140">
        <x:v>7</x:v>
      </x:c>
      <x:c r="BI21" s="141" t="s">
        <x:v>35</x:v>
      </x:c>
      <x:c r="BJ21" s="142"/>
      <x:c r="BK21" s="142"/>
      <x:c r="BL21" s="220">
        <x:v>0.8</x:v>
      </x:c>
      <x:c r="BM21" s="126">
        <x:v>1</x:v>
      </x:c>
      <x:c r="BN21" s="126">
        <x:f>MIN(BM21/BL21,1)</x:f>
        <x:v>1</x:v>
      </x:c>
      <x:c r="BO21" s="219">
        <x:f>BN21*0.1</x:f>
        <x:v>0.1</x:v>
      </x:c>
      <x:c r="BQ21" s="140">
        <x:v>7</x:v>
      </x:c>
      <x:c r="BR21" s="141" t="s">
        <x:v>36</x:v>
      </x:c>
      <x:c r="BS21" s="142"/>
      <x:c r="BT21" s="142"/>
      <x:c r="BU21" s="220">
        <x:v>0.8</x:v>
      </x:c>
      <x:c r="BV21" s="126">
        <x:v>1</x:v>
      </x:c>
      <x:c r="BW21" s="126">
        <x:f>MIN(BV21/BU21,1)</x:f>
        <x:v>1</x:v>
      </x:c>
      <x:c r="BX21" s="219">
        <x:f>BW21*0.1</x:f>
        <x:v>0.1</x:v>
      </x:c>
    </x:row>
    <x:row r="22" s="133" customFormat="1" ht="21.75" customHeight="1">
      <x:c r="C22" s="86" t="s">
        <x:v>40</x:v>
      </x:c>
      <x:c r="D22" s="86"/>
      <x:c r="E22" s="86"/>
      <x:c r="F22" s="86"/>
      <x:c r="G22" s="86"/>
      <x:c r="H22" s="87"/>
      <x:c r="I22" s="86"/>
      <x:c r="J22" s="87"/>
      <x:c r="M22" s="86" t="s">
        <x:v>40</x:v>
      </x:c>
      <x:c r="N22" s="86"/>
      <x:c r="O22" s="86"/>
      <x:c r="P22" s="86"/>
      <x:c r="Q22" s="86"/>
      <x:c r="R22" s="87"/>
      <x:c r="S22" s="86"/>
      <x:c r="T22" s="87"/>
      <x:c r="V22" s="86" t="s">
        <x:v>40</x:v>
      </x:c>
      <x:c r="W22" s="86"/>
      <x:c r="X22" s="86"/>
      <x:c r="Y22" s="86"/>
      <x:c r="Z22" s="86"/>
      <x:c r="AA22" s="87"/>
      <x:c r="AB22" s="86"/>
      <x:c r="AC22" s="87"/>
      <x:c r="AE22" s="86" t="s">
        <x:v>40</x:v>
      </x:c>
      <x:c r="AF22" s="86"/>
      <x:c r="AG22" s="86"/>
      <x:c r="AH22" s="86"/>
      <x:c r="AI22" s="86"/>
      <x:c r="AJ22" s="87"/>
      <x:c r="AK22" s="86"/>
      <x:c r="AL22" s="87"/>
      <x:c r="AN22" s="134"/>
      <x:c r="AO22" s="86" t="s">
        <x:v>40</x:v>
      </x:c>
      <x:c r="AP22" s="86"/>
      <x:c r="AQ22" s="86"/>
      <x:c r="AR22" s="86"/>
      <x:c r="AS22" s="86"/>
      <x:c r="AT22" s="87"/>
      <x:c r="AU22" s="86"/>
      <x:c r="AV22" s="87"/>
      <x:c r="AW22" s="134"/>
      <x:c r="AX22" s="134"/>
      <x:c r="AY22" s="86" t="s">
        <x:v>40</x:v>
      </x:c>
      <x:c r="AZ22" s="86"/>
      <x:c r="BA22" s="86"/>
      <x:c r="BB22" s="86"/>
      <x:c r="BC22" s="86"/>
      <x:c r="BD22" s="87"/>
      <x:c r="BE22" s="86"/>
      <x:c r="BF22" s="87"/>
      <x:c r="BH22" s="86" t="s">
        <x:v>40</x:v>
      </x:c>
      <x:c r="BI22" s="86"/>
      <x:c r="BJ22" s="86"/>
      <x:c r="BK22" s="86"/>
      <x:c r="BL22" s="86"/>
      <x:c r="BM22" s="87"/>
      <x:c r="BN22" s="86"/>
      <x:c r="BO22" s="87"/>
      <x:c r="BQ22" s="86" t="s">
        <x:v>40</x:v>
      </x:c>
      <x:c r="BR22" s="86"/>
      <x:c r="BS22" s="86"/>
      <x:c r="BT22" s="86"/>
      <x:c r="BU22" s="86"/>
      <x:c r="BV22" s="87"/>
      <x:c r="BW22" s="86"/>
      <x:c r="BX22" s="87"/>
    </x:row>
    <x:row r="23" s="133" customFormat="1" ht="24.600000381469727" customHeight="1">
      <x:c r="C23" s="140">
        <x:v>1</x:v>
      </x:c>
      <x:c r="D23" s="141" t="s">
        <x:v>29</x:v>
      </x:c>
      <x:c r="E23" s="142"/>
      <x:c r="F23" s="142"/>
      <x:c r="G23" s="218">
        <x:v>0.95</x:v>
      </x:c>
      <x:c r="H23" s="126">
        <x:v>1</x:v>
      </x:c>
      <x:c r="I23" s="126">
        <x:f>MIN(H23/G23,1)</x:f>
        <x:v>1</x:v>
      </x:c>
      <x:c r="J23" s="219">
        <x:f>I23*0.1</x:f>
        <x:v>0.1</x:v>
      </x:c>
      <x:c r="M23" s="140">
        <x:v>1</x:v>
      </x:c>
      <x:c r="N23" s="141" t="s">
        <x:v>30</x:v>
      </x:c>
      <x:c r="O23" s="142"/>
      <x:c r="P23" s="142"/>
      <x:c r="Q23" s="218">
        <x:v>0.95</x:v>
      </x:c>
      <x:c r="R23" s="126">
        <x:v>1</x:v>
      </x:c>
      <x:c r="S23" s="126">
        <x:f>MIN(R23/Q23,1)</x:f>
        <x:v>1</x:v>
      </x:c>
      <x:c r="T23" s="219">
        <x:f>S23*0.1</x:f>
        <x:v>0.1</x:v>
      </x:c>
      <x:c r="V23" s="140">
        <x:v>1</x:v>
      </x:c>
      <x:c r="W23" s="141" t="s">
        <x:v>31</x:v>
      </x:c>
      <x:c r="X23" s="142"/>
      <x:c r="Y23" s="142"/>
      <x:c r="Z23" s="218">
        <x:v>0.95</x:v>
      </x:c>
      <x:c r="AA23" s="126">
        <x:v>1</x:v>
      </x:c>
      <x:c r="AB23" s="126">
        <x:f>MIN(AA23/Z23,1)</x:f>
        <x:v>1</x:v>
      </x:c>
      <x:c r="AC23" s="219">
        <x:f>AB23*0.1</x:f>
        <x:v>0.1</x:v>
      </x:c>
      <x:c r="AE23" s="140">
        <x:v>1</x:v>
      </x:c>
      <x:c r="AF23" s="141" t="s">
        <x:v>32</x:v>
      </x:c>
      <x:c r="AG23" s="142"/>
      <x:c r="AH23" s="142"/>
      <x:c r="AI23" s="218">
        <x:v>0.95</x:v>
      </x:c>
      <x:c r="AJ23" s="126">
        <x:v>0.95</x:v>
      </x:c>
      <x:c r="AK23" s="126">
        <x:f>MIN(AJ23/AI23,1)</x:f>
        <x:v>1</x:v>
      </x:c>
      <x:c r="AL23" s="219">
        <x:f>AK23*0.1</x:f>
        <x:v>0.1</x:v>
      </x:c>
      <x:c r="AN23" s="134"/>
      <x:c r="AO23" s="140">
        <x:v>5</x:v>
      </x:c>
      <x:c r="AP23" s="141" t="s">
        <x:v>33</x:v>
      </x:c>
      <x:c r="AQ23" s="142"/>
      <x:c r="AR23" s="142"/>
      <x:c r="AS23" s="218">
        <x:v>0.95</x:v>
      </x:c>
      <x:c r="AT23" s="126">
        <x:v>1</x:v>
      </x:c>
      <x:c r="AU23" s="126">
        <x:f>MIN(AT23/AS23,1)</x:f>
        <x:v>1</x:v>
      </x:c>
      <x:c r="AV23" s="219">
        <x:f>AU23*0.1</x:f>
        <x:v>0.1</x:v>
      </x:c>
      <x:c r="AW23" s="134"/>
      <x:c r="AX23" s="134"/>
      <x:c r="AY23" s="140">
        <x:v>1</x:v>
      </x:c>
      <x:c r="AZ23" s="141" t="s">
        <x:v>34</x:v>
      </x:c>
      <x:c r="BA23" s="142"/>
      <x:c r="BB23" s="142"/>
      <x:c r="BC23" s="218">
        <x:v>0.95</x:v>
      </x:c>
      <x:c r="BD23" s="126">
        <x:v>1</x:v>
      </x:c>
      <x:c r="BE23" s="126">
        <x:f>MIN(BD23/BC23,1)</x:f>
        <x:v>1</x:v>
      </x:c>
      <x:c r="BF23" s="219">
        <x:f>BE23*0.1</x:f>
        <x:v>0.1</x:v>
      </x:c>
      <x:c r="BH23" s="140">
        <x:v>1</x:v>
      </x:c>
      <x:c r="BI23" s="141" t="s">
        <x:v>35</x:v>
      </x:c>
      <x:c r="BJ23" s="142"/>
      <x:c r="BK23" s="142"/>
      <x:c r="BL23" s="218">
        <x:v>0.95</x:v>
      </x:c>
      <x:c r="BM23" s="126">
        <x:v>1</x:v>
      </x:c>
      <x:c r="BN23" s="126">
        <x:f>MIN(BM23/BL23,1)</x:f>
        <x:v>1</x:v>
      </x:c>
      <x:c r="BO23" s="219">
        <x:f>BN23*0.1</x:f>
        <x:v>0.1</x:v>
      </x:c>
      <x:c r="BQ23" s="140">
        <x:v>1</x:v>
      </x:c>
      <x:c r="BR23" s="141" t="s">
        <x:v>36</x:v>
      </x:c>
      <x:c r="BS23" s="142"/>
      <x:c r="BT23" s="142"/>
      <x:c r="BU23" s="218">
        <x:v>0.95</x:v>
      </x:c>
      <x:c r="BV23" s="126">
        <x:v>1</x:v>
      </x:c>
      <x:c r="BW23" s="126">
        <x:f>MIN(BV23/BU23,1)</x:f>
        <x:v>1</x:v>
      </x:c>
      <x:c r="BX23" s="219">
        <x:f>BW23*0.1</x:f>
        <x:v>0.1</x:v>
      </x:c>
    </x:row>
    <x:row r="24" s="133" customFormat="1" ht="24.600000381469727" customHeight="1">
      <x:c r="C24" s="86" t="s">
        <x:v>41</x:v>
      </x:c>
      <x:c r="D24" s="86"/>
      <x:c r="E24" s="86"/>
      <x:c r="F24" s="86"/>
      <x:c r="G24" s="86"/>
      <x:c r="H24" s="87"/>
      <x:c r="I24" s="86"/>
      <x:c r="J24" s="87"/>
      <x:c r="M24" s="86" t="s">
        <x:v>41</x:v>
      </x:c>
      <x:c r="N24" s="86"/>
      <x:c r="O24" s="86"/>
      <x:c r="P24" s="86"/>
      <x:c r="Q24" s="86"/>
      <x:c r="R24" s="87"/>
      <x:c r="S24" s="86"/>
      <x:c r="T24" s="87"/>
      <x:c r="V24" s="86" t="s">
        <x:v>41</x:v>
      </x:c>
      <x:c r="W24" s="86"/>
      <x:c r="X24" s="86"/>
      <x:c r="Y24" s="86"/>
      <x:c r="Z24" s="86"/>
      <x:c r="AA24" s="87"/>
      <x:c r="AB24" s="86"/>
      <x:c r="AC24" s="87"/>
      <x:c r="AE24" s="86" t="s">
        <x:v>41</x:v>
      </x:c>
      <x:c r="AF24" s="86"/>
      <x:c r="AG24" s="86"/>
      <x:c r="AH24" s="86"/>
      <x:c r="AI24" s="86"/>
      <x:c r="AJ24" s="87"/>
      <x:c r="AK24" s="86"/>
      <x:c r="AL24" s="87"/>
      <x:c r="AN24" s="134"/>
      <x:c r="AO24" s="86" t="s">
        <x:v>41</x:v>
      </x:c>
      <x:c r="AP24" s="86"/>
      <x:c r="AQ24" s="86"/>
      <x:c r="AR24" s="86"/>
      <x:c r="AS24" s="86"/>
      <x:c r="AT24" s="87"/>
      <x:c r="AU24" s="86"/>
      <x:c r="AV24" s="87"/>
      <x:c r="AW24" s="134"/>
      <x:c r="AX24" s="134"/>
      <x:c r="AY24" s="86" t="s">
        <x:v>41</x:v>
      </x:c>
      <x:c r="AZ24" s="86"/>
      <x:c r="BA24" s="86"/>
      <x:c r="BB24" s="86"/>
      <x:c r="BC24" s="86"/>
      <x:c r="BD24" s="87"/>
      <x:c r="BE24" s="86"/>
      <x:c r="BF24" s="87"/>
      <x:c r="BH24" s="86" t="s">
        <x:v>41</x:v>
      </x:c>
      <x:c r="BI24" s="86"/>
      <x:c r="BJ24" s="86"/>
      <x:c r="BK24" s="86"/>
      <x:c r="BL24" s="86"/>
      <x:c r="BM24" s="87"/>
      <x:c r="BN24" s="86"/>
      <x:c r="BO24" s="87"/>
      <x:c r="BQ24" s="86" t="s">
        <x:v>41</x:v>
      </x:c>
      <x:c r="BR24" s="86"/>
      <x:c r="BS24" s="86"/>
      <x:c r="BT24" s="86"/>
      <x:c r="BU24" s="86"/>
      <x:c r="BV24" s="87"/>
      <x:c r="BW24" s="86"/>
      <x:c r="BX24" s="87"/>
    </x:row>
    <x:row r="25" s="133" customFormat="1" ht="24.600000381469727" customHeight="1">
      <x:c r="C25" s="140">
        <x:v>1</x:v>
      </x:c>
      <x:c r="D25" s="141" t="s">
        <x:v>29</x:v>
      </x:c>
      <x:c r="E25" s="142"/>
      <x:c r="F25" s="142"/>
      <x:c r="G25" s="218">
        <x:v>0.9</x:v>
      </x:c>
      <x:c r="H25" s="126">
        <x:v>1</x:v>
      </x:c>
      <x:c r="I25" s="126">
        <x:f>MIN(H25/G25,1)</x:f>
        <x:v>1</x:v>
      </x:c>
      <x:c r="J25" s="219">
        <x:f>I25*0.1</x:f>
        <x:v>0.1</x:v>
      </x:c>
      <x:c r="M25" s="140">
        <x:v>1</x:v>
      </x:c>
      <x:c r="N25" s="141" t="s">
        <x:v>30</x:v>
      </x:c>
      <x:c r="O25" s="142"/>
      <x:c r="P25" s="142"/>
      <x:c r="Q25" s="218">
        <x:v>0.9</x:v>
      </x:c>
      <x:c r="R25" s="126">
        <x:v>1</x:v>
      </x:c>
      <x:c r="S25" s="126">
        <x:f>MIN(R25/Q25,1)</x:f>
        <x:v>1</x:v>
      </x:c>
      <x:c r="T25" s="219">
        <x:f>S25*0.1</x:f>
        <x:v>0.1</x:v>
      </x:c>
      <x:c r="V25" s="140">
        <x:v>1</x:v>
      </x:c>
      <x:c r="W25" s="141" t="s">
        <x:v>31</x:v>
      </x:c>
      <x:c r="X25" s="142"/>
      <x:c r="Y25" s="142"/>
      <x:c r="Z25" s="218">
        <x:v>0.9</x:v>
      </x:c>
      <x:c r="AA25" s="126">
        <x:v>0.8</x:v>
      </x:c>
      <x:c r="AB25" s="126">
        <x:f>MIN(AA25/Z25,1)</x:f>
        <x:v>0.88888888888888895</x:v>
      </x:c>
      <x:c r="AC25" s="219">
        <x:f>AB25*0.1</x:f>
        <x:v>8.8888888888888906E-2</x:v>
      </x:c>
      <x:c r="AE25" s="140">
        <x:v>1</x:v>
      </x:c>
      <x:c r="AF25" s="141" t="s">
        <x:v>32</x:v>
      </x:c>
      <x:c r="AG25" s="142"/>
      <x:c r="AH25" s="142"/>
      <x:c r="AI25" s="218">
        <x:v>0.9</x:v>
      </x:c>
      <x:c r="AJ25" s="126">
        <x:v>1</x:v>
      </x:c>
      <x:c r="AK25" s="126">
        <x:f>MIN(AJ25/AI25,1)</x:f>
        <x:v>1</x:v>
      </x:c>
      <x:c r="AL25" s="219">
        <x:f>AK25*0.1</x:f>
        <x:v>0.1</x:v>
      </x:c>
      <x:c r="AN25" s="134"/>
      <x:c r="AO25" s="140">
        <x:v>5</x:v>
      </x:c>
      <x:c r="AP25" s="141" t="s">
        <x:v>33</x:v>
      </x:c>
      <x:c r="AQ25" s="142"/>
      <x:c r="AR25" s="142"/>
      <x:c r="AS25" s="218">
        <x:v>0.9</x:v>
      </x:c>
      <x:c r="AT25" s="126">
        <x:v>0.8</x:v>
      </x:c>
      <x:c r="AU25" s="126">
        <x:f>MIN(AT25/AS25,1)</x:f>
        <x:v>0.88888888888888895</x:v>
      </x:c>
      <x:c r="AV25" s="219">
        <x:f>AU25*0.1</x:f>
        <x:v>8.8888888888888906E-2</x:v>
      </x:c>
      <x:c r="AW25" s="134"/>
      <x:c r="AX25" s="134"/>
      <x:c r="AY25" s="140">
        <x:v>1</x:v>
      </x:c>
      <x:c r="AZ25" s="141" t="s">
        <x:v>34</x:v>
      </x:c>
      <x:c r="BA25" s="142"/>
      <x:c r="BB25" s="142"/>
      <x:c r="BC25" s="218">
        <x:v>0.9</x:v>
      </x:c>
      <x:c r="BD25" s="126">
        <x:v>1</x:v>
      </x:c>
      <x:c r="BE25" s="126">
        <x:f>MIN(BD25/BC25,1)</x:f>
        <x:v>1</x:v>
      </x:c>
      <x:c r="BF25" s="219">
        <x:f>BE25*0.1</x:f>
        <x:v>0.1</x:v>
      </x:c>
      <x:c r="BH25" s="140">
        <x:v>1</x:v>
      </x:c>
      <x:c r="BI25" s="141" t="s">
        <x:v>35</x:v>
      </x:c>
      <x:c r="BJ25" s="142"/>
      <x:c r="BK25" s="142"/>
      <x:c r="BL25" s="218">
        <x:v>0.9</x:v>
      </x:c>
      <x:c r="BM25" s="126">
        <x:v>1</x:v>
      </x:c>
      <x:c r="BN25" s="126">
        <x:f>MIN(BM25/BL25,1)</x:f>
        <x:v>1</x:v>
      </x:c>
      <x:c r="BO25" s="219">
        <x:f>BN25*0.1</x:f>
        <x:v>0.1</x:v>
      </x:c>
      <x:c r="BQ25" s="140">
        <x:v>1</x:v>
      </x:c>
      <x:c r="BR25" s="141" t="s">
        <x:v>36</x:v>
      </x:c>
      <x:c r="BS25" s="142"/>
      <x:c r="BT25" s="142"/>
      <x:c r="BU25" s="218">
        <x:v>0.9</x:v>
      </x:c>
      <x:c r="BV25" s="126">
        <x:v>0.8</x:v>
      </x:c>
      <x:c r="BW25" s="126">
        <x:f>MIN(BV25/BU25,1)</x:f>
        <x:v>0.88888888888888895</x:v>
      </x:c>
      <x:c r="BX25" s="219">
        <x:f>BW25*0.1</x:f>
        <x:v>8.8888888888888906E-2</x:v>
      </x:c>
    </x:row>
    <x:row r="26">
      <x:c r="A26" s="133"/>
      <x:c r="B26" s="133"/>
      <x:c r="C26" s="137"/>
      <x:c r="D26" s="138"/>
      <x:c r="E26" s="138"/>
      <x:c r="F26" s="138"/>
      <x:c r="G26" s="138"/>
      <x:c r="H26" s="138"/>
      <x:c r="I26" s="137"/>
      <x:c r="J26" s="139"/>
      <x:c r="M26" s="88"/>
      <x:c r="O26" s="89"/>
      <x:c r="P26" s="89"/>
      <x:c r="Q26" s="90"/>
      <x:c r="R26" s="90"/>
      <x:c r="S26" s="91"/>
      <x:c r="T26" s="91"/>
      <x:c r="U26" s="133"/>
      <x:c r="V26" s="88"/>
      <x:c r="X26" s="89"/>
      <x:c r="Y26" s="89"/>
      <x:c r="Z26" s="90"/>
      <x:c r="AA26" s="90"/>
      <x:c r="AB26" s="91"/>
      <x:c r="AC26" s="91"/>
      <x:c r="AE26" s="88"/>
      <x:c r="AG26" s="89"/>
      <x:c r="AH26" s="89"/>
      <x:c r="AI26" s="90"/>
      <x:c r="AJ26" s="90"/>
      <x:c r="AK26" s="91"/>
      <x:c r="AL26" s="91"/>
      <x:c r="AM26" s="133"/>
      <x:c r="AN26" s="134"/>
      <x:c r="AO26" s="88"/>
      <x:c r="AQ26" s="89"/>
      <x:c r="AR26" s="89"/>
      <x:c r="AS26" s="90"/>
      <x:c r="AT26" s="90"/>
      <x:c r="AU26" s="91"/>
      <x:c r="AV26" s="91"/>
      <x:c r="AW26" s="121"/>
      <x:c r="AX26" s="121"/>
      <x:c r="AY26" s="88"/>
      <x:c r="BA26" s="89"/>
      <x:c r="BB26" s="89"/>
      <x:c r="BC26" s="90"/>
      <x:c r="BD26" s="90"/>
      <x:c r="BE26" s="91"/>
      <x:c r="BF26" s="91"/>
      <x:c r="BG26" s="133"/>
      <x:c r="BH26" s="88"/>
      <x:c r="BJ26" s="89"/>
      <x:c r="BK26" s="89"/>
      <x:c r="BL26" s="90"/>
      <x:c r="BM26" s="90"/>
      <x:c r="BN26" s="91"/>
      <x:c r="BO26" s="91"/>
      <x:c r="BP26" s="133"/>
      <x:c r="BQ26" s="88"/>
      <x:c r="BS26" s="89"/>
      <x:c r="BT26" s="89"/>
      <x:c r="BU26" s="90"/>
      <x:c r="BV26" s="90"/>
      <x:c r="BW26" s="91"/>
      <x:c r="BX26" s="91"/>
    </x:row>
    <x:row r="27">
      <x:c r="B27" s="62"/>
      <x:c r="C27" s="88"/>
      <x:c r="D27" s="98"/>
      <x:c r="E27" s="98"/>
      <x:c r="F27" s="98"/>
      <x:c r="G27" s="90"/>
      <x:c r="H27" s="90"/>
      <x:c r="I27" s="91"/>
      <x:c r="J27" s="91"/>
      <x:c r="K27" s="62"/>
      <x:c r="M27" s="88"/>
      <x:c r="N27" s="98"/>
      <x:c r="O27" s="98"/>
      <x:c r="P27" s="98"/>
      <x:c r="Q27" s="90"/>
      <x:c r="R27" s="90"/>
      <x:c r="S27" s="91"/>
      <x:c r="T27" s="91"/>
      <x:c r="U27" s="133"/>
      <x:c r="V27" s="88"/>
      <x:c r="W27" s="98"/>
      <x:c r="X27" s="98"/>
      <x:c r="Y27" s="98"/>
      <x:c r="Z27" s="90"/>
      <x:c r="AA27" s="90"/>
      <x:c r="AB27" s="91"/>
      <x:c r="AC27" s="91"/>
      <x:c r="AE27" s="88"/>
      <x:c r="AF27" s="98"/>
      <x:c r="AG27" s="98"/>
      <x:c r="AH27" s="98"/>
      <x:c r="AI27" s="90"/>
      <x:c r="AJ27" s="90"/>
      <x:c r="AK27" s="91"/>
      <x:c r="AL27" s="91"/>
      <x:c r="AN27" s="123"/>
      <x:c r="AO27" s="88"/>
      <x:c r="AP27" s="109"/>
      <x:c r="AQ27" s="109"/>
      <x:c r="AR27" s="109"/>
      <x:c r="AS27" s="90"/>
      <x:c r="AT27" s="90"/>
      <x:c r="AU27" s="91"/>
      <x:c r="AV27" s="91"/>
      <x:c r="AW27" s="123"/>
      <x:c r="AX27" s="121"/>
      <x:c r="AY27" s="88"/>
      <x:c r="AZ27" s="127"/>
      <x:c r="BA27" s="127"/>
      <x:c r="BB27" s="127"/>
      <x:c r="BC27" s="90"/>
      <x:c r="BD27" s="90"/>
      <x:c r="BE27" s="91"/>
      <x:c r="BF27" s="91"/>
      <x:c r="BH27" s="88"/>
      <x:c r="BI27" s="130"/>
      <x:c r="BJ27" s="130"/>
      <x:c r="BK27" s="130"/>
      <x:c r="BL27" s="90"/>
      <x:c r="BM27" s="90"/>
      <x:c r="BN27" s="91"/>
      <x:c r="BO27" s="91"/>
      <x:c r="BP27" s="133"/>
      <x:c r="BQ27" s="88"/>
      <x:c r="BR27" s="208"/>
      <x:c r="BS27" s="208"/>
      <x:c r="BT27" s="208"/>
      <x:c r="BU27" s="90"/>
      <x:c r="BV27" s="90"/>
      <x:c r="BW27" s="91"/>
      <x:c r="BX27" s="91"/>
    </x:row>
    <x:row r="28" s="62" customFormat="1" ht="26.25" customHeight="1">
      <x:c r="C28" s="104" t="s">
        <x:v>42</x:v>
      </x:c>
      <x:c r="D28" s="293" t="s">
        <x:v>4</x:v>
      </x:c>
      <x:c r="E28" s="294"/>
      <x:c r="F28" s="294"/>
      <x:c r="G28" s="294"/>
      <x:c r="H28" s="295"/>
      <x:c r="I28" s="101" t="s">
        <x:v>27</x:v>
      </x:c>
      <x:c r="J28" s="101" t="s">
        <x:v>43</x:v>
      </x:c>
      <x:c r="M28" s="93" t="s">
        <x:v>42</x:v>
      </x:c>
      <x:c r="N28" s="293" t="s">
        <x:v>4</x:v>
      </x:c>
      <x:c r="O28" s="294"/>
      <x:c r="P28" s="294"/>
      <x:c r="Q28" s="294"/>
      <x:c r="R28" s="295"/>
      <x:c r="S28" s="101" t="s">
        <x:v>27</x:v>
      </x:c>
      <x:c r="T28" s="101" t="s">
        <x:v>43</x:v>
      </x:c>
      <x:c r="V28" s="93" t="s">
        <x:v>42</x:v>
      </x:c>
      <x:c r="W28" s="293" t="s">
        <x:v>4</x:v>
      </x:c>
      <x:c r="X28" s="294"/>
      <x:c r="Y28" s="294"/>
      <x:c r="Z28" s="294"/>
      <x:c r="AA28" s="295"/>
      <x:c r="AB28" s="101" t="s">
        <x:v>27</x:v>
      </x:c>
      <x:c r="AC28" s="101" t="s">
        <x:v>43</x:v>
      </x:c>
      <x:c r="AE28" s="93" t="s">
        <x:v>42</x:v>
      </x:c>
      <x:c r="AF28" s="296" t="s">
        <x:v>4</x:v>
      </x:c>
      <x:c r="AG28" s="297"/>
      <x:c r="AH28" s="101"/>
      <x:c r="AI28" s="101"/>
      <x:c r="AJ28" s="101"/>
      <x:c r="AK28" s="101" t="s">
        <x:v>27</x:v>
      </x:c>
      <x:c r="AL28" s="101" t="s">
        <x:v>43</x:v>
      </x:c>
      <x:c r="AN28" s="123"/>
      <x:c r="AO28" s="116" t="s">
        <x:v>42</x:v>
      </x:c>
      <x:c r="AP28" s="278" t="s">
        <x:v>4</x:v>
      </x:c>
      <x:c r="AQ28" s="279"/>
      <x:c r="AR28" s="279"/>
      <x:c r="AS28" s="279"/>
      <x:c r="AT28" s="280"/>
      <x:c r="AU28" s="113" t="s">
        <x:v>27</x:v>
      </x:c>
      <x:c r="AV28" s="113" t="s">
        <x:v>43</x:v>
      </x:c>
      <x:c r="AW28" s="123"/>
      <x:c r="AX28" s="123"/>
      <x:c r="AY28" s="128" t="s">
        <x:v>42</x:v>
      </x:c>
      <x:c r="AZ28" s="278" t="s">
        <x:v>4</x:v>
      </x:c>
      <x:c r="BA28" s="279"/>
      <x:c r="BB28" s="279"/>
      <x:c r="BC28" s="279"/>
      <x:c r="BD28" s="280"/>
      <x:c r="BE28" s="113" t="s">
        <x:v>27</x:v>
      </x:c>
      <x:c r="BF28" s="113" t="s">
        <x:v>43</x:v>
      </x:c>
      <x:c r="BH28" s="129" t="s">
        <x:v>42</x:v>
      </x:c>
      <x:c r="BI28" s="278" t="s">
        <x:v>4</x:v>
      </x:c>
      <x:c r="BJ28" s="279"/>
      <x:c r="BK28" s="279"/>
      <x:c r="BL28" s="279"/>
      <x:c r="BM28" s="280"/>
      <x:c r="BN28" s="113" t="s">
        <x:v>27</x:v>
      </x:c>
      <x:c r="BO28" s="113" t="s">
        <x:v>43</x:v>
      </x:c>
      <x:c r="BQ28" s="207" t="s">
        <x:v>42</x:v>
      </x:c>
      <x:c r="BR28" s="278" t="s">
        <x:v>4</x:v>
      </x:c>
      <x:c r="BS28" s="279"/>
      <x:c r="BT28" s="279"/>
      <x:c r="BU28" s="279"/>
      <x:c r="BV28" s="280"/>
      <x:c r="BW28" s="113" t="s">
        <x:v>27</x:v>
      </x:c>
      <x:c r="BX28" s="113" t="s">
        <x:v>43</x:v>
      </x:c>
    </x:row>
    <x:row r="29" s="62" customFormat="1" ht="24.75" customHeight="1">
      <x:c r="C29" s="81">
        <x:v>1</x:v>
      </x:c>
      <x:c r="D29" s="299" t="s">
        <x:v>29</x:v>
      </x:c>
      <x:c r="E29" s="300"/>
      <x:c r="F29" s="300"/>
      <x:c r="G29" s="300"/>
      <x:c r="H29" s="301"/>
      <x:c r="I29" s="96">
        <x:f>J15+J17+J19+J21+J23+J25</x:f>
        <x:v>0.99999999999999989</x:v>
      </x:c>
      <x:c r="J29" s="95" t="str">
        <x:f>+_xlfn.IFS(I29&gt;=95%,"350",I29&gt;=90%,"200",I29&gt;=85%,100,I29&lt;84%,"0")</x:f>
        <x:v>350</x:v>
      </x:c>
      <x:c r="M29" s="81">
        <x:v>2</x:v>
      </x:c>
      <x:c r="N29" s="299" t="s">
        <x:v>30</x:v>
      </x:c>
      <x:c r="O29" s="300"/>
      <x:c r="P29" s="300"/>
      <x:c r="Q29" s="300"/>
      <x:c r="R29" s="301"/>
      <x:c r="S29" s="96">
        <x:f>T15+T17+T19+T21+T23+T25</x:f>
        <x:v>0.98618955512572526</x:v>
      </x:c>
      <x:c r="T29" s="95" t="str">
        <x:f>+_xlfn.IFS(S29&gt;=95%,"350",S29&gt;=90%,"200",S29&gt;=85%,100,S29&lt;84%,"0")</x:f>
        <x:v>350</x:v>
      </x:c>
      <x:c r="V29" s="81">
        <x:v>3</x:v>
      </x:c>
      <x:c r="W29" s="299" t="s">
        <x:v>31</x:v>
      </x:c>
      <x:c r="X29" s="300"/>
      <x:c r="Y29" s="300"/>
      <x:c r="Z29" s="300"/>
      <x:c r="AA29" s="301"/>
      <x:c r="AB29" s="96">
        <x:f>AC15+AC17+AC19+AC21+AC23+AC25</x:f>
        <x:v>0.98888888888888882</x:v>
      </x:c>
      <x:c r="AC29" s="95" t="str">
        <x:f>+_xlfn.IFS(AB29&gt;=95%,"350",AB29&gt;=90%,"200",AB29&gt;=85%,100,AB29&lt;84%,"0")</x:f>
        <x:v>350</x:v>
      </x:c>
      <x:c r="AE29" s="81">
        <x:v>4</x:v>
      </x:c>
      <x:c r="AF29" s="100" t="s">
        <x:v>32</x:v>
      </x:c>
      <x:c r="AG29" s="100"/>
      <x:c r="AH29" s="100"/>
      <x:c r="AI29" s="100"/>
      <x:c r="AJ29" s="100"/>
      <x:c r="AK29" s="96">
        <x:f>AL15+AL17+AL19+AL21+AL23+AL25</x:f>
        <x:v>0.97381818181818181</x:v>
      </x:c>
      <x:c r="AL29" s="95" t="str">
        <x:f>+_xlfn.IFS(AK29&gt;=95%,"350",AK29&gt;=90%,"200",AK29&gt;=85%,100,AK29&lt;84%,"0")</x:f>
        <x:v>350</x:v>
      </x:c>
      <x:c r="AN29" s="123"/>
      <x:c r="AO29" s="81">
        <x:v>5</x:v>
      </x:c>
      <x:c r="AP29" s="83" t="s">
        <x:v>33</x:v>
      </x:c>
      <x:c r="AQ29" s="114"/>
      <x:c r="AR29" s="114"/>
      <x:c r="AS29" s="114"/>
      <x:c r="AT29" s="115"/>
      <x:c r="AU29" s="94">
        <x:f>AV15+AV17+AV19+AV21+AV23+AV25</x:f>
        <x:v>0.98888888888888882</x:v>
      </x:c>
      <x:c r="AV29" s="95" t="str">
        <x:f>+_xlfn.IFS(AU29&gt;=95%,"350",AU29&gt;=90%,"200",AU29&gt;=85%,100,AU29&lt;84%,"0")</x:f>
        <x:v>350</x:v>
      </x:c>
      <x:c r="AW29" s="123"/>
      <x:c r="AX29" s="123"/>
      <x:c r="AY29" s="81">
        <x:v>6</x:v>
      </x:c>
      <x:c r="AZ29" s="83" t="s">
        <x:v>34</x:v>
      </x:c>
      <x:c r="BA29" s="114"/>
      <x:c r="BB29" s="114"/>
      <x:c r="BC29" s="114"/>
      <x:c r="BD29" s="115"/>
      <x:c r="BE29" s="94">
        <x:f>BF15+BF17+BF19+BF21+BF23+BF25</x:f>
        <x:v>0.99999999999999989</x:v>
      </x:c>
      <x:c r="BF29" s="95" t="str">
        <x:f>+_xlfn.IFS(BE29&gt;=95%,"350",BE29&gt;=90%,"200",BE29&gt;=85%,100,BE29&lt;84%,"0")</x:f>
        <x:v>350</x:v>
      </x:c>
      <x:c r="BH29" s="81">
        <x:v>7</x:v>
      </x:c>
      <x:c r="BI29" s="83" t="s">
        <x:v>35</x:v>
      </x:c>
      <x:c r="BJ29" s="114"/>
      <x:c r="BK29" s="114"/>
      <x:c r="BL29" s="114"/>
      <x:c r="BM29" s="115"/>
      <x:c r="BN29" s="94">
        <x:f>BO15+BO17+BO19+BO21+BO23+BO25</x:f>
        <x:v>0.99999999999999989</x:v>
      </x:c>
      <x:c r="BO29" s="95" t="str">
        <x:f>+_xlfn.IFS(BN29&gt;=95%,"350",BN29&gt;=90%,"200",BN29&gt;=85%,100,BN29&lt;84%,"0")</x:f>
        <x:v>350</x:v>
      </x:c>
      <x:c r="BQ29" s="209">
        <x:v>7</x:v>
      </x:c>
      <x:c r="BR29" s="82" t="s">
        <x:v>36</x:v>
      </x:c>
      <x:c r="BS29" s="114"/>
      <x:c r="BT29" s="114"/>
      <x:c r="BU29" s="114"/>
      <x:c r="BV29" s="115"/>
      <x:c r="BW29" s="94">
        <x:f>BX15+BX17+BX19+BX21+BX23+BX25</x:f>
        <x:v>0.98888888888888882</x:v>
      </x:c>
      <x:c r="BX29" s="95" t="str">
        <x:f>+_xlfn.IFS(BW29&gt;=95%,"350",BW29&gt;=90%,"200",BW29&gt;=85%,100,BW29&lt;84%,"0")</x:f>
        <x:v>350</x:v>
      </x:c>
    </x:row>
    <x:row r="30" s="62" customFormat="1" ht="19.5" customHeight="1">
      <x:c r="C30" s="105" t="s">
        <x:v>43</x:v>
      </x:c>
      <x:c r="D30" s="105"/>
      <x:c r="E30" s="105"/>
      <x:c r="F30" s="105"/>
      <x:c r="G30" s="105"/>
      <x:c r="H30" s="105"/>
      <x:c r="I30" s="105"/>
      <x:c r="J30" s="97" t="str">
        <x:f>+J29</x:f>
        <x:v>350</x:v>
      </x:c>
      <x:c r="M30" s="102" t="s">
        <x:v>43</x:v>
      </x:c>
      <x:c r="N30" s="103"/>
      <x:c r="O30" s="103"/>
      <x:c r="P30" s="103"/>
      <x:c r="Q30" s="103"/>
      <x:c r="R30" s="103"/>
      <x:c r="S30" s="103"/>
      <x:c r="T30" s="97" t="str">
        <x:f>+T29</x:f>
        <x:v>350</x:v>
      </x:c>
      <x:c r="V30" s="102" t="s">
        <x:v>43</x:v>
      </x:c>
      <x:c r="W30" s="103"/>
      <x:c r="X30" s="103"/>
      <x:c r="Y30" s="103"/>
      <x:c r="Z30" s="103"/>
      <x:c r="AA30" s="103"/>
      <x:c r="AB30" s="103"/>
      <x:c r="AC30" s="97" t="str">
        <x:f>+AC29</x:f>
        <x:v>350</x:v>
      </x:c>
      <x:c r="AE30" s="102" t="s">
        <x:v>43</x:v>
      </x:c>
      <x:c r="AF30" s="103"/>
      <x:c r="AG30" s="103"/>
      <x:c r="AH30" s="103"/>
      <x:c r="AI30" s="103"/>
      <x:c r="AJ30" s="103"/>
      <x:c r="AK30" s="103"/>
      <x:c r="AL30" s="97" t="str">
        <x:f>+AL29</x:f>
        <x:v>350</x:v>
      </x:c>
      <x:c r="AN30" s="123"/>
      <x:c r="AO30" s="105" t="s">
        <x:v>43</x:v>
      </x:c>
      <x:c r="AP30" s="105"/>
      <x:c r="AQ30" s="105"/>
      <x:c r="AR30" s="105"/>
      <x:c r="AS30" s="105"/>
      <x:c r="AT30" s="105"/>
      <x:c r="AU30" s="105"/>
      <x:c r="AV30" s="97" t="str">
        <x:f>+AV29</x:f>
        <x:v>350</x:v>
      </x:c>
      <x:c r="AW30" s="123"/>
      <x:c r="AX30" s="123"/>
      <x:c r="AY30" s="105" t="s">
        <x:v>43</x:v>
      </x:c>
      <x:c r="AZ30" s="105"/>
      <x:c r="BA30" s="105"/>
      <x:c r="BB30" s="105"/>
      <x:c r="BC30" s="105"/>
      <x:c r="BD30" s="105"/>
      <x:c r="BE30" s="105"/>
      <x:c r="BF30" s="97">
        <x:f>SUM(BF29)</x:f>
        <x:v>0</x:v>
      </x:c>
      <x:c r="BH30" s="105" t="s">
        <x:v>43</x:v>
      </x:c>
      <x:c r="BI30" s="105"/>
      <x:c r="BJ30" s="105"/>
      <x:c r="BK30" s="105"/>
      <x:c r="BL30" s="105"/>
      <x:c r="BM30" s="105"/>
      <x:c r="BN30" s="105"/>
      <x:c r="BO30" s="97" t="str">
        <x:f>+BO29</x:f>
        <x:v>350</x:v>
      </x:c>
      <x:c r="BQ30" s="105" t="s">
        <x:v>43</x:v>
      </x:c>
      <x:c r="BR30" s="105"/>
      <x:c r="BS30" s="105"/>
      <x:c r="BT30" s="105"/>
      <x:c r="BU30" s="105"/>
      <x:c r="BV30" s="105"/>
      <x:c r="BW30" s="105"/>
      <x:c r="BX30" s="97" t="str">
        <x:f>+BX29</x:f>
        <x:v>350</x:v>
      </x:c>
    </x:row>
    <x:row r="31" s="62" customFormat="1" ht="18.600000381469727" customHeight="1">
      <x:c r="C31" s="88"/>
      <x:c r="D31" s="298"/>
      <x:c r="E31" s="298"/>
      <x:c r="F31" s="298"/>
      <x:c r="I31" s="92"/>
      <x:c r="J31" s="92"/>
      <x:c r="M31" s="88"/>
      <x:c r="N31" s="298"/>
      <x:c r="O31" s="298"/>
      <x:c r="P31" s="298"/>
      <x:c r="S31" s="92"/>
      <x:c r="T31" s="92"/>
      <x:c r="V31" s="88"/>
      <x:c r="W31" s="298"/>
      <x:c r="X31" s="298"/>
      <x:c r="Y31" s="298"/>
      <x:c r="AB31" s="92"/>
      <x:c r="AC31" s="92"/>
      <x:c r="AN31" s="123"/>
      <x:c r="AW31" s="123"/>
      <x:c r="AX31" s="123"/>
    </x:row>
    <x:row r="32" s="62" customFormat="1" ht="18.600000381469727" customHeight="1">
      <x:c r="C32" s="88"/>
      <x:c r="D32" s="236"/>
      <x:c r="E32" s="236"/>
      <x:c r="F32" s="236"/>
      <x:c r="I32" s="92"/>
      <x:c r="J32" s="92"/>
      <x:c r="M32" s="88"/>
      <x:c r="N32" s="236"/>
      <x:c r="O32" s="236"/>
      <x:c r="P32" s="236"/>
      <x:c r="S32" s="92"/>
      <x:c r="T32" s="92"/>
      <x:c r="V32" s="88"/>
      <x:c r="W32" s="236"/>
      <x:c r="X32" s="236"/>
      <x:c r="Y32" s="236"/>
      <x:c r="AB32" s="92"/>
      <x:c r="AC32" s="92"/>
      <x:c r="AN32" s="123"/>
      <x:c r="AO32" s="269" t="s">
        <x:v>44</x:v>
      </x:c>
      <x:c r="AP32" s="269"/>
      <x:c r="AQ32" s="269"/>
      <x:c r="AR32" s="269"/>
      <x:c r="AS32" s="269"/>
      <x:c r="AT32" s="269"/>
      <x:c r="AU32" s="269"/>
      <x:c r="AV32" s="269"/>
      <x:c r="AW32" s="123"/>
      <x:c r="AX32" s="123"/>
    </x:row>
    <x:row r="33" s="62" customFormat="1" ht="18.600000381469727" customHeight="1">
      <x:c r="C33" s="88"/>
      <x:c r="D33" s="236"/>
      <x:c r="E33" s="236"/>
      <x:c r="F33" s="236"/>
      <x:c r="I33" s="92"/>
      <x:c r="J33" s="92"/>
      <x:c r="M33" s="88"/>
      <x:c r="N33" s="236"/>
      <x:c r="O33" s="236"/>
      <x:c r="P33" s="236"/>
      <x:c r="S33" s="92"/>
      <x:c r="T33" s="92"/>
      <x:c r="V33" s="88"/>
      <x:c r="W33" s="236"/>
      <x:c r="X33" s="236"/>
      <x:c r="Y33" s="236"/>
      <x:c r="AB33" s="92"/>
      <x:c r="AC33" s="92"/>
      <x:c r="AN33" s="123"/>
      <x:c r="AO33" s="270">
        <x:v>46204</x:v>
      </x:c>
      <x:c r="AP33" s="270"/>
      <x:c r="AQ33" s="270"/>
      <x:c r="AR33" s="270"/>
      <x:c r="AS33" s="270"/>
      <x:c r="AT33" s="270"/>
      <x:c r="AU33" s="270"/>
      <x:c r="AV33" s="270"/>
      <x:c r="AW33" s="123"/>
      <x:c r="AX33" s="123"/>
    </x:row>
    <x:row r="34" s="62" customFormat="1" ht="25.149999618530273" customHeight="1">
      <x:c r="AN34" s="123"/>
      <x:c r="AO34" s="289" t="s">
        <x:v>45</x:v>
      </x:c>
      <x:c r="AP34" s="289"/>
      <x:c r="AQ34" s="249" t="s">
        <x:v>5</x:v>
      </x:c>
      <x:c r="AR34" s="289" t="s">
        <x:v>46</x:v>
      </x:c>
      <x:c r="AS34" s="289"/>
      <x:c r="AT34" s="249" t="s">
        <x:v>47</x:v>
      </x:c>
      <x:c r="AU34" s="249" t="s">
        <x:v>48</x:v>
      </x:c>
      <x:c r="AV34" s="249" t="s">
        <x:v>49</x:v>
      </x:c>
      <x:c r="AW34" s="123"/>
      <x:c r="AX34" s="123"/>
    </x:row>
    <x:row r="35" s="62" customFormat="1" ht="57.599998474121094" customHeight="1">
      <x:c r="AF35" s="235" t="s">
        <x:v>50</x:v>
      </x:c>
      <x:c r="AG35" s="235"/>
      <x:c r="AH35" s="235"/>
      <x:c r="AI35" s="235" t="s">
        <x:v>51</x:v>
      </x:c>
      <x:c r="AN35" s="123"/>
      <x:c r="AO35" s="290" t="s">
        <x:v>52</x:v>
      </x:c>
      <x:c r="AP35" s="290"/>
      <x:c r="AQ35" s="250">
        <x:v>100</x:v>
      </x:c>
      <x:c r="AR35" s="290" t="s">
        <x:v>53</x:v>
      </x:c>
      <x:c r="AS35" s="290"/>
      <x:c r="AT35" s="250" t="s">
        <x:v>54</x:v>
      </x:c>
      <x:c r="AU35" s="250" t="s">
        <x:v>55</x:v>
      </x:c>
      <x:c r="AV35" s="250" t="s">
        <x:v>56</x:v>
      </x:c>
      <x:c r="AW35" s="123"/>
      <x:c r="AX35" s="123"/>
    </x:row>
    <x:row r="36" s="62" customFormat="1"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AF36" s="235" t="s">
        <x:v>57</x:v>
      </x:c>
      <x:c r="AG36" s="276">
        <x:v>87.03</x:v>
      </x:c>
      <x:c r="AH36" s="277"/>
      <x:c r="AI36" s="235"/>
      <x:c r="AN36" s="121"/>
      <x:c r="AO36" s="291" t="s">
        <x:v>23</x:v>
      </x:c>
      <x:c r="AP36" s="291"/>
      <x:c r="AQ36" s="251">
        <x:v>100</x:v>
      </x:c>
      <x:c r="AR36" s="292"/>
      <x:c r="AS36" s="292"/>
      <x:c r="AT36" s="252"/>
      <x:c r="AU36" s="252"/>
      <x:c r="AV36" s="252"/>
      <x:c r="AW36" s="121"/>
      <x:c r="AX36" s="123"/>
    </x:row>
    <x:row r="37" s="62" customFormat="1">
      <x:c r="AF37" s="235" t="s">
        <x:v>58</x:v>
      </x:c>
      <x:c r="AG37" s="276">
        <x:v>957</x:v>
      </x:c>
      <x:c r="AH37" s="277"/>
      <x:c r="AI37" s="235">
        <x:v>958</x:v>
      </x:c>
      <x:c r="AN37" s="123"/>
      <x:c r="AO37" s="123"/>
      <x:c r="AP37" s="123"/>
      <x:c r="AQ37" s="123"/>
      <x:c r="AR37" s="123"/>
      <x:c r="AS37" s="123"/>
      <x:c r="AT37" s="123"/>
      <x:c r="AU37" s="123"/>
      <x:c r="AV37" s="123"/>
      <x:c r="AW37" s="123"/>
    </x:row>
    <x:row r="38" s="62" customFormat="1" ht="18" customHeight="1">
      <x:c r="AF38" s="235" t="s">
        <x:v>59</x:v>
      </x:c>
      <x:c r="AG38" s="276"/>
      <x:c r="AH38" s="277"/>
      <x:c r="AI38" s="235">
        <x:v>417</x:v>
      </x:c>
      <x:c r="AN38" s="123"/>
      <x:c r="AO38" s="265" t="s">
        <x:v>60</x:v>
      </x:c>
      <x:c r="AP38" s="266"/>
      <x:c r="AQ38" s="266"/>
      <x:c r="AR38" s="238"/>
      <x:c r="AS38" s="238"/>
      <x:c r="AT38" s="238"/>
      <x:c r="AU38" s="262" t="s">
        <x:v>27</x:v>
      </x:c>
      <x:c r="AV38" s="262" t="s">
        <x:v>61</x:v>
      </x:c>
      <x:c r="AW38" s="123"/>
    </x:row>
    <x:row r="39" s="62" customFormat="1" ht="24" customHeight="1">
      <x:c r="AI39" s="235">
        <x:f>+SUM(AI37:AI38)</x:f>
        <x:v>1375</x:v>
      </x:c>
      <x:c r="AN39" s="123"/>
      <x:c r="AO39" s="140">
        <x:v>5</x:v>
      </x:c>
      <x:c r="AP39" s="141" t="s">
        <x:v>33</x:v>
      </x:c>
      <x:c r="AQ39" s="142"/>
      <x:c r="AR39" s="143"/>
      <x:c r="AS39" s="231">
        <x:v>1363200</x:v>
      </x:c>
      <x:c r="AT39" s="261">
        <x:v>1795362</x:v>
      </x:c>
      <x:c r="AU39" s="126">
        <x:f>+MIN(AT39/AS39,1)</x:f>
        <x:v>1</x:v>
      </x:c>
      <x:c r="AV39" s="95" t="str">
        <x:f>+_xlfn.IFS(AU39&gt;=95%,"300",AU39&gt;=90%,"250",AU39&gt;=85%,200,AU39&lt;84%,"0")</x:f>
        <x:v>300</x:v>
      </x:c>
      <x:c r="AW39" s="123"/>
    </x:row>
    <x:row r="40" s="62" customFormat="1">
      <x:c r="AT40" s="253">
        <x:f>+SUM(H17+R17+AA17+AJ17+AT17+BD17+BM17+BV17)</x:f>
        <x:v>1795361.6800000002</x:v>
      </x:c>
    </x:row>
    <x:row r="41" s="62" customFormat="1" ht="15.75">
      <x:c r="AO41" s="254"/>
      <x:c r="AP41" s="267"/>
      <x:c r="AQ41" s="267"/>
      <x:c r="AR41" s="267"/>
      <x:c r="AS41" s="267"/>
      <x:c r="AT41" s="267"/>
      <x:c r="AU41" s="255"/>
      <x:c r="AV41" s="255"/>
      <x:c r="AW41" s="134"/>
    </x:row>
    <x:row r="42" s="62" customFormat="1">
      <x:c r="AO42" s="137"/>
      <x:c r="AP42" s="256"/>
      <x:c r="AQ42" s="138"/>
      <x:c r="AR42" s="138"/>
      <x:c r="AS42" s="138"/>
      <x:c r="AT42" s="138"/>
      <x:c r="AU42" s="257"/>
      <x:c r="AV42" s="258"/>
      <x:c r="AW42" s="134"/>
    </x:row>
    <x:row r="43" s="62" customFormat="1" ht="15.75">
      <x:c r="AO43" s="259"/>
      <x:c r="AP43" s="259"/>
      <x:c r="AQ43" s="259"/>
      <x:c r="AR43" s="259"/>
      <x:c r="AS43" s="259"/>
      <x:c r="AT43" s="259"/>
      <x:c r="AU43" s="259"/>
      <x:c r="AV43" s="260"/>
      <x:c r="AW43" s="134"/>
    </x:row>
    <x:row r="44" s="62" customFormat="1">
      <x:c r="AO44" s="134"/>
      <x:c r="AP44" s="134"/>
      <x:c r="AQ44" s="134"/>
      <x:c r="AR44" s="134"/>
      <x:c r="AS44" s="134"/>
      <x:c r="AT44" s="134"/>
      <x:c r="AU44" s="134"/>
      <x:c r="AV44" s="134"/>
      <x:c r="AW44" s="134"/>
    </x:row>
    <x:row r="45" s="62" customFormat="1"/>
    <x:row r="46" s="62" customFormat="1"/>
    <x:row r="47" s="62" customFormat="1"/>
    <x:row r="48" s="62" customFormat="1"/>
    <x:row r="49" s="62" customFormat="1"/>
    <x:row r="50" s="62" customFormat="1"/>
    <x:row r="51" s="62" customFormat="1"/>
    <x:row r="52" s="62" customFormat="1"/>
    <x:row r="53" s="62" customFormat="1"/>
    <x:row r="54" s="62" customFormat="1"/>
    <x:row r="55" s="62" customFormat="1"/>
    <x:row r="56" s="62" customFormat="1"/>
    <x:row r="57" s="62" customFormat="1"/>
    <x:row r="58" s="62" customFormat="1"/>
    <x:row r="59" s="62" customFormat="1"/>
    <x:row r="60" s="62" customFormat="1"/>
    <x:row r="61" s="62" customFormat="1"/>
    <x:row r="62" s="62" customFormat="1"/>
    <x:row r="63" s="62" customFormat="1"/>
    <x:row r="64" s="62" customFormat="1"/>
    <x:row r="65" s="62" customFormat="1"/>
    <x:row r="66" s="62" customFormat="1"/>
    <x:row r="67" s="62" customFormat="1"/>
    <x:row r="68" s="62" customFormat="1">
      <x:c r="AO68" s="63"/>
      <x:c r="AP68" s="63"/>
      <x:c r="AQ68" s="63"/>
      <x:c r="AR68" s="63"/>
      <x:c r="AS68" s="63"/>
      <x:c r="AT68" s="63"/>
      <x:c r="AU68" s="63"/>
      <x:c r="AV68" s="63"/>
    </x:row>
    <x:row r="69" s="62" customFormat="1">
      <x:c r="AO69" s="63"/>
      <x:c r="AP69" s="63"/>
      <x:c r="AQ69" s="63"/>
      <x:c r="AR69" s="63"/>
      <x:c r="AS69" s="63"/>
      <x:c r="AT69" s="63"/>
      <x:c r="AU69" s="63"/>
      <x:c r="AV69" s="63"/>
    </x:row>
  </x:sheetData>
  <x:mergeCells>
    <x:mergeCell ref="AF11:AG11"/>
    <x:mergeCell ref="N11:O11"/>
    <x:mergeCell ref="AP11:AQ11"/>
    <x:mergeCell ref="AB6:AB10"/>
    <x:mergeCell ref="D31:F31"/>
    <x:mergeCell ref="H6:H10"/>
    <x:mergeCell ref="I6:I10"/>
    <x:mergeCell ref="J6:J10"/>
    <x:mergeCell ref="D11:E11"/>
    <x:mergeCell ref="D29:H29"/>
    <x:mergeCell ref="W29:AA29"/>
    <x:mergeCell ref="N31:P31"/>
    <x:mergeCell ref="W31:Y31"/>
    <x:mergeCell ref="W11:X11"/>
    <x:mergeCell ref="W28:AA28"/>
    <x:mergeCell ref="N29:R29"/>
    <x:mergeCell ref="S6:S10"/>
    <x:mergeCell ref="T6:T10"/>
    <x:mergeCell ref="AL6:AL10"/>
    <x:mergeCell ref="AA6:AA10"/>
    <x:mergeCell ref="AO2:AV2"/>
    <x:mergeCell ref="AP4:AQ5"/>
    <x:mergeCell ref="AR4:AR5"/>
    <x:mergeCell ref="AS4:AS5"/>
    <x:mergeCell ref="AT4:AV4"/>
    <x:mergeCell ref="AY1:BF1"/>
    <x:mergeCell ref="AY2:BF2"/>
    <x:mergeCell ref="AZ4:BA5"/>
    <x:mergeCell ref="BB4:BB5"/>
    <x:mergeCell ref="BC4:BC5"/>
    <x:mergeCell ref="BD4:BF4"/>
    <x:mergeCell ref="AZ28:BD28"/>
    <x:mergeCell ref="AP28:AT28"/>
    <x:mergeCell ref="M1:T1"/>
    <x:mergeCell ref="M2:T2"/>
    <x:mergeCell ref="N4:O5"/>
    <x:mergeCell ref="P4:P5"/>
    <x:mergeCell ref="Q4:Q5"/>
    <x:mergeCell ref="R4:T4"/>
    <x:mergeCell ref="V1:AC1"/>
    <x:mergeCell ref="V2:AC2"/>
    <x:mergeCell ref="W4:X5"/>
    <x:mergeCell ref="AA4:AC4"/>
    <x:mergeCell ref="AE1:AL1"/>
    <x:mergeCell ref="AE2:AL2"/>
    <x:mergeCell ref="AF4:AG5"/>
    <x:mergeCell ref="AH4:AH5"/>
    <x:mergeCell ref="AI4:AI5"/>
    <x:mergeCell ref="AJ4:AL4"/>
    <x:mergeCell ref="Y4:Y5"/>
    <x:mergeCell ref="Z4:Z5"/>
    <x:mergeCell ref="AO1:AV1"/>
    <x:mergeCell ref="N28:R28"/>
    <x:mergeCell ref="AF28:AG28"/>
    <x:mergeCell ref="AC6:AC10"/>
    <x:mergeCell ref="BH1:BO1"/>
    <x:mergeCell ref="BH2:BO2"/>
    <x:mergeCell ref="BI11:BJ11"/>
    <x:mergeCell ref="BM6:BM10"/>
    <x:mergeCell ref="BN6:BN10"/>
    <x:mergeCell ref="BO6:BO10"/>
    <x:mergeCell ref="AG36:AH36"/>
    <x:mergeCell ref="AT6:AT10"/>
    <x:mergeCell ref="BI4:BJ5"/>
    <x:mergeCell ref="BK4:BK5"/>
    <x:mergeCell ref="BL4:BL5"/>
    <x:mergeCell ref="BM4:BO4"/>
    <x:mergeCell ref="AZ11:BA11"/>
    <x:mergeCell ref="BD6:BD10"/>
    <x:mergeCell ref="BE6:BE10"/>
    <x:mergeCell ref="BF6:BF10"/>
    <x:mergeCell ref="AU6:AU10"/>
    <x:mergeCell ref="AV6:AV10"/>
    <x:mergeCell ref="BI28:BM28"/>
    <x:mergeCell ref="AO34:AP34"/>
    <x:mergeCell ref="AO35:AP35"/>
    <x:mergeCell ref="AO36:AP36"/>
    <x:mergeCell ref="AR34:AS34"/>
    <x:mergeCell ref="AR35:AS35"/>
    <x:mergeCell ref="BR28:BV28"/>
    <x:mergeCell ref="BQ1:BX1"/>
    <x:mergeCell ref="BQ2:BX2"/>
    <x:mergeCell ref="BR4:BS5"/>
    <x:mergeCell ref="BT4:BT5"/>
    <x:mergeCell ref="BU4:BU5"/>
    <x:mergeCell ref="BV4:BX4"/>
    <x:mergeCell ref="BV6:BV10"/>
    <x:mergeCell ref="BW6:BW10"/>
    <x:mergeCell ref="BX6:BX10"/>
    <x:mergeCell ref="BR11:BS11"/>
    <x:mergeCell ref="AO38:AQ38"/>
    <x:mergeCell ref="AP41:AT41"/>
    <x:mergeCell ref="AO3:AP3"/>
    <x:mergeCell ref="AO32:AV32"/>
    <x:mergeCell ref="AO33:AV33"/>
    <x:mergeCell ref="A6:B6"/>
    <x:mergeCell ref="A1:B1"/>
    <x:mergeCell ref="A2:B2"/>
    <x:mergeCell ref="A3:B3"/>
    <x:mergeCell ref="A4:B4"/>
    <x:mergeCell ref="A5:B5"/>
    <x:mergeCell ref="AG37:AH37"/>
    <x:mergeCell ref="AG38:AH38"/>
    <x:mergeCell ref="AR36:AS36"/>
    <x:mergeCell ref="C1:J1"/>
    <x:mergeCell ref="C2:J2"/>
    <x:mergeCell ref="D4:E5"/>
    <x:mergeCell ref="F4:F5"/>
    <x:mergeCell ref="G4:G5"/>
    <x:mergeCell ref="H4:J4"/>
    <x:mergeCell ref="D28:H28"/>
    <x:mergeCell ref="R6:R10"/>
    <x:mergeCell ref="AJ6:AJ10"/>
    <x:mergeCell ref="AK6:AK10"/>
  </x:mergeCells>
  <x:pageMargins left="0.7" right="0.7" top="0.75" bottom="0.75" header="0.3" footer="0.3"/>
</x:worksheet>
</file>